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cpfito365-my.sharepoint.com/personal/phumin_dec_cpf_co_th/Documents/CPF HRA Compliance &amp; HR Process/DMS_2026/07_Projects_2026/07_99_KM/HRA-km-folder/"/>
    </mc:Choice>
  </mc:AlternateContent>
  <xr:revisionPtr revIDLastSave="2" documentId="8_{F4B9130A-075D-4D8D-9A73-E4A015613440}" xr6:coauthVersionLast="47" xr6:coauthVersionMax="47" xr10:uidLastSave="{A46F073B-E9EC-4234-B856-354EFCEB4B91}"/>
  <bookViews>
    <workbookView xWindow="-108" yWindow="-108" windowWidth="23256" windowHeight="12456" tabRatio="996" xr2:uid="{00000000-000D-0000-FFFF-FFFF00000000}"/>
  </bookViews>
  <sheets>
    <sheet name="Dashboard" sheetId="1" r:id="rId1"/>
    <sheet name="กฎหมายใหม่ล่าสุด" sheetId="4" r:id="rId2"/>
    <sheet name="กฎหมายประจำเดือน" sheetId="5" r:id="rId3"/>
    <sheet name="กฎหมายในปีล่าสุด" sheetId="6" r:id="rId4"/>
    <sheet name="Data_Helper" sheetId="7" r:id="rId5"/>
    <sheet name="Raw_Data_Copy" sheetId="3" r:id="rId6"/>
    <sheet name="Summary_KPI" sheetId="8" r:id="rId7"/>
    <sheet name="Summary_Category" sheetId="9" r:id="rId8"/>
    <sheet name="Summary_Trend" sheetId="10" r:id="rId9"/>
    <sheet name="Action_Backlog" sheetId="11" r:id="rId10"/>
    <sheet name="Workbook_Guide" sheetId="2" r:id="rId11"/>
  </sheets>
  <definedNames>
    <definedName name="_xlnm._FilterDatabase" localSheetId="3" hidden="1">กฎหมายในปีล่าสุด!$A$5:$M$11</definedName>
    <definedName name="_xlnm._FilterDatabase" localSheetId="2" hidden="1">กฎหมายประจำเดือน!$A$5:$M$6</definedName>
    <definedName name="_xlnm._FilterDatabase" localSheetId="1" hidden="1">กฎหมายใหม่ล่าสุด!$A$5:$M$6</definedName>
    <definedName name="_xlnm.Print_Titles" localSheetId="3">กฎหมายในปีล่าสุด!$1:$5</definedName>
    <definedName name="_xlnm.Print_Titles" localSheetId="2">กฎหมายประจำเดือน!$1:$5</definedName>
    <definedName name="_xlnm.Print_Titles" localSheetId="1">กฎหมายใหม่ล่าสุด!$1:$5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5" i="7" l="1"/>
  <c r="Y75" i="7"/>
  <c r="X75" i="7"/>
  <c r="M75" i="7"/>
  <c r="V75" i="7" s="1"/>
  <c r="L75" i="7"/>
  <c r="J75" i="7"/>
  <c r="K75" i="7" s="1"/>
  <c r="H75" i="7"/>
  <c r="I75" i="7" s="1"/>
  <c r="P75" i="7" s="1"/>
  <c r="E75" i="7"/>
  <c r="F75" i="7" s="1"/>
  <c r="D75" i="7"/>
  <c r="C75" i="7"/>
  <c r="B75" i="7"/>
  <c r="Z74" i="7"/>
  <c r="Y74" i="7"/>
  <c r="X74" i="7"/>
  <c r="R74" i="7"/>
  <c r="M74" i="7"/>
  <c r="V74" i="7" s="1"/>
  <c r="L74" i="7"/>
  <c r="J74" i="7"/>
  <c r="K74" i="7" s="1"/>
  <c r="H74" i="7"/>
  <c r="I74" i="7" s="1"/>
  <c r="P74" i="7" s="1"/>
  <c r="E74" i="7"/>
  <c r="U74" i="7" s="1"/>
  <c r="D74" i="7"/>
  <c r="C74" i="7"/>
  <c r="B74" i="7"/>
  <c r="Z73" i="7"/>
  <c r="Y73" i="7"/>
  <c r="X73" i="7"/>
  <c r="M73" i="7"/>
  <c r="V73" i="7" s="1"/>
  <c r="L73" i="7"/>
  <c r="J73" i="7"/>
  <c r="K73" i="7" s="1"/>
  <c r="H73" i="7"/>
  <c r="I73" i="7" s="1"/>
  <c r="E73" i="7"/>
  <c r="U73" i="7" s="1"/>
  <c r="D73" i="7"/>
  <c r="C73" i="7"/>
  <c r="B73" i="7"/>
  <c r="Z72" i="7"/>
  <c r="Y72" i="7"/>
  <c r="X72" i="7"/>
  <c r="M72" i="7"/>
  <c r="V72" i="7" s="1"/>
  <c r="L72" i="7"/>
  <c r="J72" i="7"/>
  <c r="K72" i="7" s="1"/>
  <c r="R72" i="7" s="1"/>
  <c r="H72" i="7"/>
  <c r="I72" i="7" s="1"/>
  <c r="N72" i="7" s="1"/>
  <c r="E72" i="7"/>
  <c r="U72" i="7" s="1"/>
  <c r="D72" i="7"/>
  <c r="C72" i="7"/>
  <c r="B72" i="7"/>
  <c r="Z71" i="7"/>
  <c r="Y71" i="7"/>
  <c r="X71" i="7"/>
  <c r="M71" i="7"/>
  <c r="V71" i="7" s="1"/>
  <c r="L71" i="7"/>
  <c r="J71" i="7"/>
  <c r="K71" i="7" s="1"/>
  <c r="H71" i="7"/>
  <c r="I71" i="7" s="1"/>
  <c r="N71" i="7" s="1"/>
  <c r="E71" i="7"/>
  <c r="F71" i="7" s="1"/>
  <c r="D71" i="7"/>
  <c r="C71" i="7"/>
  <c r="B71" i="7"/>
  <c r="Z70" i="7"/>
  <c r="Y70" i="7"/>
  <c r="X70" i="7"/>
  <c r="M70" i="7"/>
  <c r="V70" i="7" s="1"/>
  <c r="L70" i="7"/>
  <c r="J70" i="7"/>
  <c r="K70" i="7" s="1"/>
  <c r="S70" i="7" s="1"/>
  <c r="H70" i="7"/>
  <c r="I70" i="7" s="1"/>
  <c r="E70" i="7"/>
  <c r="G70" i="7" s="1"/>
  <c r="D70" i="7"/>
  <c r="C70" i="7"/>
  <c r="B70" i="7"/>
  <c r="Z69" i="7"/>
  <c r="Y69" i="7"/>
  <c r="X69" i="7"/>
  <c r="M69" i="7"/>
  <c r="V69" i="7" s="1"/>
  <c r="L69" i="7"/>
  <c r="J69" i="7"/>
  <c r="K69" i="7" s="1"/>
  <c r="R69" i="7" s="1"/>
  <c r="H69" i="7"/>
  <c r="I69" i="7" s="1"/>
  <c r="O69" i="7" s="1"/>
  <c r="E69" i="7"/>
  <c r="F69" i="7" s="1"/>
  <c r="D69" i="7"/>
  <c r="C69" i="7"/>
  <c r="B69" i="7"/>
  <c r="Z68" i="7"/>
  <c r="Y68" i="7"/>
  <c r="X68" i="7"/>
  <c r="M68" i="7"/>
  <c r="V68" i="7" s="1"/>
  <c r="L68" i="7"/>
  <c r="J68" i="7"/>
  <c r="K68" i="7" s="1"/>
  <c r="H68" i="7"/>
  <c r="I68" i="7" s="1"/>
  <c r="O68" i="7" s="1"/>
  <c r="E68" i="7"/>
  <c r="U68" i="7" s="1"/>
  <c r="D68" i="7"/>
  <c r="C68" i="7"/>
  <c r="B68" i="7"/>
  <c r="Z67" i="7"/>
  <c r="Y67" i="7"/>
  <c r="X67" i="7"/>
  <c r="M67" i="7"/>
  <c r="V67" i="7" s="1"/>
  <c r="L67" i="7"/>
  <c r="J67" i="7"/>
  <c r="K67" i="7" s="1"/>
  <c r="H67" i="7"/>
  <c r="I67" i="7" s="1"/>
  <c r="E67" i="7"/>
  <c r="F67" i="7" s="1"/>
  <c r="D67" i="7"/>
  <c r="C67" i="7"/>
  <c r="B67" i="7"/>
  <c r="Z66" i="7"/>
  <c r="Y66" i="7"/>
  <c r="X66" i="7"/>
  <c r="R66" i="7"/>
  <c r="M66" i="7"/>
  <c r="V66" i="7" s="1"/>
  <c r="L66" i="7"/>
  <c r="J66" i="7"/>
  <c r="K66" i="7" s="1"/>
  <c r="S66" i="7" s="1"/>
  <c r="H66" i="7"/>
  <c r="I66" i="7" s="1"/>
  <c r="E66" i="7"/>
  <c r="G66" i="7" s="1"/>
  <c r="D66" i="7"/>
  <c r="C66" i="7"/>
  <c r="B66" i="7"/>
  <c r="Z65" i="7"/>
  <c r="Y65" i="7"/>
  <c r="X65" i="7"/>
  <c r="M65" i="7"/>
  <c r="V65" i="7" s="1"/>
  <c r="L65" i="7"/>
  <c r="J65" i="7"/>
  <c r="K65" i="7" s="1"/>
  <c r="S65" i="7" s="1"/>
  <c r="H65" i="7"/>
  <c r="I65" i="7" s="1"/>
  <c r="P65" i="7" s="1"/>
  <c r="E65" i="7"/>
  <c r="G65" i="7" s="1"/>
  <c r="D65" i="7"/>
  <c r="C65" i="7"/>
  <c r="B65" i="7"/>
  <c r="Z64" i="7"/>
  <c r="Y64" i="7"/>
  <c r="X64" i="7"/>
  <c r="M64" i="7"/>
  <c r="V64" i="7" s="1"/>
  <c r="L64" i="7"/>
  <c r="J64" i="7"/>
  <c r="K64" i="7" s="1"/>
  <c r="H64" i="7"/>
  <c r="I64" i="7" s="1"/>
  <c r="O64" i="7" s="1"/>
  <c r="E64" i="7"/>
  <c r="U64" i="7" s="1"/>
  <c r="D64" i="7"/>
  <c r="C64" i="7"/>
  <c r="B64" i="7"/>
  <c r="Z63" i="7"/>
  <c r="Y63" i="7"/>
  <c r="X63" i="7"/>
  <c r="M63" i="7"/>
  <c r="V63" i="7" s="1"/>
  <c r="L63" i="7"/>
  <c r="J63" i="7"/>
  <c r="K63" i="7" s="1"/>
  <c r="H63" i="7"/>
  <c r="I63" i="7" s="1"/>
  <c r="E63" i="7"/>
  <c r="F63" i="7" s="1"/>
  <c r="D63" i="7"/>
  <c r="C63" i="7"/>
  <c r="B63" i="7"/>
  <c r="Z62" i="7"/>
  <c r="Y62" i="7"/>
  <c r="X62" i="7"/>
  <c r="M62" i="7"/>
  <c r="V62" i="7" s="1"/>
  <c r="L62" i="7"/>
  <c r="J62" i="7"/>
  <c r="K62" i="7" s="1"/>
  <c r="S62" i="7" s="1"/>
  <c r="H62" i="7"/>
  <c r="I62" i="7" s="1"/>
  <c r="O62" i="7" s="1"/>
  <c r="E62" i="7"/>
  <c r="G62" i="7" s="1"/>
  <c r="D62" i="7"/>
  <c r="C62" i="7"/>
  <c r="B62" i="7"/>
  <c r="Z61" i="7"/>
  <c r="Y61" i="7"/>
  <c r="X61" i="7"/>
  <c r="M61" i="7"/>
  <c r="V61" i="7" s="1"/>
  <c r="L61" i="7"/>
  <c r="J61" i="7"/>
  <c r="K61" i="7" s="1"/>
  <c r="H61" i="7"/>
  <c r="I61" i="7" s="1"/>
  <c r="P61" i="7" s="1"/>
  <c r="E61" i="7"/>
  <c r="F61" i="7" s="1"/>
  <c r="D61" i="7"/>
  <c r="C61" i="7"/>
  <c r="B61" i="7"/>
  <c r="Z60" i="7"/>
  <c r="Y60" i="7"/>
  <c r="X60" i="7"/>
  <c r="M60" i="7"/>
  <c r="V60" i="7" s="1"/>
  <c r="L60" i="7"/>
  <c r="J60" i="7"/>
  <c r="K60" i="7" s="1"/>
  <c r="H60" i="7"/>
  <c r="I60" i="7" s="1"/>
  <c r="O60" i="7" s="1"/>
  <c r="E60" i="7"/>
  <c r="U60" i="7" s="1"/>
  <c r="D60" i="7"/>
  <c r="C60" i="7"/>
  <c r="B60" i="7"/>
  <c r="Z59" i="7"/>
  <c r="Y59" i="7"/>
  <c r="X59" i="7"/>
  <c r="M59" i="7"/>
  <c r="V59" i="7" s="1"/>
  <c r="L59" i="7"/>
  <c r="J59" i="7"/>
  <c r="K59" i="7" s="1"/>
  <c r="R59" i="7" s="1"/>
  <c r="H59" i="7"/>
  <c r="I59" i="7" s="1"/>
  <c r="E59" i="7"/>
  <c r="F59" i="7" s="1"/>
  <c r="D59" i="7"/>
  <c r="C59" i="7"/>
  <c r="B59" i="7"/>
  <c r="Z58" i="7"/>
  <c r="Y58" i="7"/>
  <c r="X58" i="7"/>
  <c r="M58" i="7"/>
  <c r="V58" i="7" s="1"/>
  <c r="L58" i="7"/>
  <c r="J58" i="7"/>
  <c r="K58" i="7" s="1"/>
  <c r="S58" i="7" s="1"/>
  <c r="H58" i="7"/>
  <c r="I58" i="7" s="1"/>
  <c r="O58" i="7" s="1"/>
  <c r="E58" i="7"/>
  <c r="G58" i="7" s="1"/>
  <c r="D58" i="7"/>
  <c r="C58" i="7"/>
  <c r="B58" i="7"/>
  <c r="Z57" i="7"/>
  <c r="Y57" i="7"/>
  <c r="X57" i="7"/>
  <c r="M57" i="7"/>
  <c r="V57" i="7" s="1"/>
  <c r="L57" i="7"/>
  <c r="J57" i="7"/>
  <c r="K57" i="7" s="1"/>
  <c r="H57" i="7"/>
  <c r="I57" i="7" s="1"/>
  <c r="E57" i="7"/>
  <c r="U57" i="7" s="1"/>
  <c r="D57" i="7"/>
  <c r="C57" i="7"/>
  <c r="B57" i="7"/>
  <c r="Z56" i="7"/>
  <c r="Y56" i="7"/>
  <c r="X56" i="7"/>
  <c r="M56" i="7"/>
  <c r="V56" i="7" s="1"/>
  <c r="L56" i="7"/>
  <c r="J56" i="7"/>
  <c r="K56" i="7" s="1"/>
  <c r="Q56" i="7" s="1"/>
  <c r="H56" i="7"/>
  <c r="I56" i="7" s="1"/>
  <c r="P56" i="7" s="1"/>
  <c r="E56" i="7"/>
  <c r="U56" i="7" s="1"/>
  <c r="D56" i="7"/>
  <c r="C56" i="7"/>
  <c r="B56" i="7"/>
  <c r="Z55" i="7"/>
  <c r="Y55" i="7"/>
  <c r="X55" i="7"/>
  <c r="M55" i="7"/>
  <c r="V55" i="7" s="1"/>
  <c r="L55" i="7"/>
  <c r="J55" i="7"/>
  <c r="K55" i="7" s="1"/>
  <c r="R55" i="7" s="1"/>
  <c r="H55" i="7"/>
  <c r="I55" i="7" s="1"/>
  <c r="N55" i="7" s="1"/>
  <c r="E55" i="7"/>
  <c r="F55" i="7" s="1"/>
  <c r="D55" i="7"/>
  <c r="C55" i="7"/>
  <c r="B55" i="7"/>
  <c r="Z54" i="7"/>
  <c r="Y54" i="7"/>
  <c r="X54" i="7"/>
  <c r="M54" i="7"/>
  <c r="V54" i="7" s="1"/>
  <c r="L54" i="7"/>
  <c r="J54" i="7"/>
  <c r="K54" i="7" s="1"/>
  <c r="S54" i="7" s="1"/>
  <c r="H54" i="7"/>
  <c r="I54" i="7" s="1"/>
  <c r="O54" i="7" s="1"/>
  <c r="E54" i="7"/>
  <c r="G54" i="7" s="1"/>
  <c r="D54" i="7"/>
  <c r="C54" i="7"/>
  <c r="B54" i="7"/>
  <c r="Z53" i="7"/>
  <c r="Y53" i="7"/>
  <c r="X53" i="7"/>
  <c r="M53" i="7"/>
  <c r="V53" i="7" s="1"/>
  <c r="L53" i="7"/>
  <c r="J53" i="7"/>
  <c r="K53" i="7" s="1"/>
  <c r="H53" i="7"/>
  <c r="I53" i="7" s="1"/>
  <c r="E53" i="7"/>
  <c r="G53" i="7" s="1"/>
  <c r="D53" i="7"/>
  <c r="C53" i="7"/>
  <c r="B53" i="7"/>
  <c r="Z52" i="7"/>
  <c r="Y52" i="7"/>
  <c r="X52" i="7"/>
  <c r="M52" i="7"/>
  <c r="V52" i="7" s="1"/>
  <c r="L52" i="7"/>
  <c r="J52" i="7"/>
  <c r="K52" i="7" s="1"/>
  <c r="H52" i="7"/>
  <c r="I52" i="7" s="1"/>
  <c r="P52" i="7" s="1"/>
  <c r="E52" i="7"/>
  <c r="U52" i="7" s="1"/>
  <c r="D52" i="7"/>
  <c r="C52" i="7"/>
  <c r="B52" i="7"/>
  <c r="Z51" i="7"/>
  <c r="Y51" i="7"/>
  <c r="X51" i="7"/>
  <c r="M51" i="7"/>
  <c r="V51" i="7" s="1"/>
  <c r="L51" i="7"/>
  <c r="J51" i="7"/>
  <c r="K51" i="7" s="1"/>
  <c r="R51" i="7" s="1"/>
  <c r="H51" i="7"/>
  <c r="I51" i="7" s="1"/>
  <c r="E51" i="7"/>
  <c r="F51" i="7" s="1"/>
  <c r="D51" i="7"/>
  <c r="C51" i="7"/>
  <c r="B51" i="7"/>
  <c r="Z50" i="7"/>
  <c r="Y50" i="7"/>
  <c r="X50" i="7"/>
  <c r="M50" i="7"/>
  <c r="V50" i="7" s="1"/>
  <c r="L50" i="7"/>
  <c r="J50" i="7"/>
  <c r="K50" i="7" s="1"/>
  <c r="S50" i="7" s="1"/>
  <c r="H50" i="7"/>
  <c r="I50" i="7" s="1"/>
  <c r="E50" i="7"/>
  <c r="G50" i="7" s="1"/>
  <c r="D50" i="7"/>
  <c r="C50" i="7"/>
  <c r="B50" i="7"/>
  <c r="Z49" i="7"/>
  <c r="Y49" i="7"/>
  <c r="X49" i="7"/>
  <c r="M49" i="7"/>
  <c r="V49" i="7" s="1"/>
  <c r="L49" i="7"/>
  <c r="J49" i="7"/>
  <c r="K49" i="7" s="1"/>
  <c r="S49" i="7" s="1"/>
  <c r="H49" i="7"/>
  <c r="I49" i="7" s="1"/>
  <c r="P49" i="7" s="1"/>
  <c r="E49" i="7"/>
  <c r="F49" i="7" s="1"/>
  <c r="D49" i="7"/>
  <c r="C49" i="7"/>
  <c r="B49" i="7"/>
  <c r="Z48" i="7"/>
  <c r="Y48" i="7"/>
  <c r="X48" i="7"/>
  <c r="M48" i="7"/>
  <c r="V48" i="7" s="1"/>
  <c r="L48" i="7"/>
  <c r="J48" i="7"/>
  <c r="K48" i="7" s="1"/>
  <c r="H48" i="7"/>
  <c r="I48" i="7" s="1"/>
  <c r="O48" i="7" s="1"/>
  <c r="E48" i="7"/>
  <c r="U48" i="7" s="1"/>
  <c r="D48" i="7"/>
  <c r="C48" i="7"/>
  <c r="B48" i="7"/>
  <c r="Z47" i="7"/>
  <c r="Y47" i="7"/>
  <c r="X47" i="7"/>
  <c r="M47" i="7"/>
  <c r="V47" i="7" s="1"/>
  <c r="L47" i="7"/>
  <c r="J47" i="7"/>
  <c r="K47" i="7" s="1"/>
  <c r="R47" i="7" s="1"/>
  <c r="H47" i="7"/>
  <c r="I47" i="7" s="1"/>
  <c r="E47" i="7"/>
  <c r="F47" i="7" s="1"/>
  <c r="D47" i="7"/>
  <c r="C47" i="7"/>
  <c r="B47" i="7"/>
  <c r="Z46" i="7"/>
  <c r="Y46" i="7"/>
  <c r="X46" i="7"/>
  <c r="M46" i="7"/>
  <c r="V46" i="7" s="1"/>
  <c r="L46" i="7"/>
  <c r="J46" i="7"/>
  <c r="K46" i="7" s="1"/>
  <c r="S46" i="7" s="1"/>
  <c r="H46" i="7"/>
  <c r="I46" i="7" s="1"/>
  <c r="E46" i="7"/>
  <c r="G46" i="7" s="1"/>
  <c r="D46" i="7"/>
  <c r="C46" i="7"/>
  <c r="B46" i="7"/>
  <c r="Z45" i="7"/>
  <c r="Y45" i="7"/>
  <c r="X45" i="7"/>
  <c r="M45" i="7"/>
  <c r="V45" i="7" s="1"/>
  <c r="L45" i="7"/>
  <c r="J45" i="7"/>
  <c r="K45" i="7" s="1"/>
  <c r="S45" i="7" s="1"/>
  <c r="H45" i="7"/>
  <c r="I45" i="7" s="1"/>
  <c r="E45" i="7"/>
  <c r="F45" i="7" s="1"/>
  <c r="D45" i="7"/>
  <c r="C45" i="7"/>
  <c r="B45" i="7"/>
  <c r="Z44" i="7"/>
  <c r="Y44" i="7"/>
  <c r="X44" i="7"/>
  <c r="M44" i="7"/>
  <c r="V44" i="7" s="1"/>
  <c r="L44" i="7"/>
  <c r="J44" i="7"/>
  <c r="K44" i="7" s="1"/>
  <c r="H44" i="7"/>
  <c r="I44" i="7" s="1"/>
  <c r="O44" i="7" s="1"/>
  <c r="E44" i="7"/>
  <c r="U44" i="7" s="1"/>
  <c r="D44" i="7"/>
  <c r="C44" i="7"/>
  <c r="B44" i="7"/>
  <c r="Z43" i="7"/>
  <c r="Y43" i="7"/>
  <c r="X43" i="7"/>
  <c r="M43" i="7"/>
  <c r="V43" i="7" s="1"/>
  <c r="L43" i="7"/>
  <c r="J43" i="7"/>
  <c r="K43" i="7" s="1"/>
  <c r="H43" i="7"/>
  <c r="I43" i="7" s="1"/>
  <c r="N43" i="7" s="1"/>
  <c r="E43" i="7"/>
  <c r="F43" i="7" s="1"/>
  <c r="D43" i="7"/>
  <c r="C43" i="7"/>
  <c r="B43" i="7"/>
  <c r="Z42" i="7"/>
  <c r="Y42" i="7"/>
  <c r="X42" i="7"/>
  <c r="M42" i="7"/>
  <c r="V42" i="7" s="1"/>
  <c r="L42" i="7"/>
  <c r="J42" i="7"/>
  <c r="K42" i="7" s="1"/>
  <c r="S42" i="7" s="1"/>
  <c r="H42" i="7"/>
  <c r="I42" i="7" s="1"/>
  <c r="E42" i="7"/>
  <c r="G42" i="7" s="1"/>
  <c r="D42" i="7"/>
  <c r="C42" i="7"/>
  <c r="B42" i="7"/>
  <c r="Z41" i="7"/>
  <c r="Y41" i="7"/>
  <c r="X41" i="7"/>
  <c r="M41" i="7"/>
  <c r="V41" i="7" s="1"/>
  <c r="L41" i="7"/>
  <c r="J41" i="7"/>
  <c r="K41" i="7" s="1"/>
  <c r="H41" i="7"/>
  <c r="I41" i="7" s="1"/>
  <c r="P41" i="7" s="1"/>
  <c r="E41" i="7"/>
  <c r="G41" i="7" s="1"/>
  <c r="D41" i="7"/>
  <c r="C41" i="7"/>
  <c r="B41" i="7"/>
  <c r="Z40" i="7"/>
  <c r="Y40" i="7"/>
  <c r="X40" i="7"/>
  <c r="M40" i="7"/>
  <c r="V40" i="7" s="1"/>
  <c r="L40" i="7"/>
  <c r="J40" i="7"/>
  <c r="K40" i="7" s="1"/>
  <c r="H40" i="7"/>
  <c r="I40" i="7" s="1"/>
  <c r="O40" i="7" s="1"/>
  <c r="E40" i="7"/>
  <c r="U40" i="7" s="1"/>
  <c r="D40" i="7"/>
  <c r="C40" i="7"/>
  <c r="B40" i="7"/>
  <c r="Z39" i="7"/>
  <c r="Y39" i="7"/>
  <c r="X39" i="7"/>
  <c r="M39" i="7"/>
  <c r="V39" i="7" s="1"/>
  <c r="L39" i="7"/>
  <c r="J39" i="7"/>
  <c r="K39" i="7" s="1"/>
  <c r="S39" i="7" s="1"/>
  <c r="H39" i="7"/>
  <c r="I39" i="7" s="1"/>
  <c r="E39" i="7"/>
  <c r="F39" i="7" s="1"/>
  <c r="D39" i="7"/>
  <c r="C39" i="7"/>
  <c r="B39" i="7"/>
  <c r="Z38" i="7"/>
  <c r="Y38" i="7"/>
  <c r="X38" i="7"/>
  <c r="M38" i="7"/>
  <c r="V38" i="7" s="1"/>
  <c r="L38" i="7"/>
  <c r="J38" i="7"/>
  <c r="K38" i="7" s="1"/>
  <c r="S38" i="7" s="1"/>
  <c r="H38" i="7"/>
  <c r="I38" i="7" s="1"/>
  <c r="O38" i="7" s="1"/>
  <c r="E38" i="7"/>
  <c r="G38" i="7" s="1"/>
  <c r="D38" i="7"/>
  <c r="C38" i="7"/>
  <c r="B38" i="7"/>
  <c r="Z37" i="7"/>
  <c r="Y37" i="7"/>
  <c r="X37" i="7"/>
  <c r="M37" i="7"/>
  <c r="V37" i="7" s="1"/>
  <c r="L37" i="7"/>
  <c r="J37" i="7"/>
  <c r="K37" i="7" s="1"/>
  <c r="H37" i="7"/>
  <c r="I37" i="7" s="1"/>
  <c r="P37" i="7" s="1"/>
  <c r="E37" i="7"/>
  <c r="U37" i="7" s="1"/>
  <c r="D37" i="7"/>
  <c r="C37" i="7"/>
  <c r="B37" i="7"/>
  <c r="Z36" i="7"/>
  <c r="Y36" i="7"/>
  <c r="X36" i="7"/>
  <c r="M36" i="7"/>
  <c r="V36" i="7" s="1"/>
  <c r="L36" i="7"/>
  <c r="J36" i="7"/>
  <c r="K36" i="7" s="1"/>
  <c r="H36" i="7"/>
  <c r="I36" i="7" s="1"/>
  <c r="P36" i="7" s="1"/>
  <c r="E36" i="7"/>
  <c r="D36" i="7"/>
  <c r="C36" i="7"/>
  <c r="B36" i="7"/>
  <c r="Z35" i="7"/>
  <c r="Y35" i="7"/>
  <c r="X35" i="7"/>
  <c r="M35" i="7"/>
  <c r="V35" i="7" s="1"/>
  <c r="L35" i="7"/>
  <c r="J35" i="7"/>
  <c r="K35" i="7" s="1"/>
  <c r="H35" i="7"/>
  <c r="I35" i="7" s="1"/>
  <c r="E35" i="7"/>
  <c r="G35" i="7" s="1"/>
  <c r="D35" i="7"/>
  <c r="C35" i="7"/>
  <c r="B35" i="7"/>
  <c r="Z34" i="7"/>
  <c r="Y34" i="7"/>
  <c r="X34" i="7"/>
  <c r="M34" i="7"/>
  <c r="V34" i="7" s="1"/>
  <c r="L34" i="7"/>
  <c r="J34" i="7"/>
  <c r="K34" i="7" s="1"/>
  <c r="H34" i="7"/>
  <c r="I34" i="7" s="1"/>
  <c r="P34" i="7" s="1"/>
  <c r="E34" i="7"/>
  <c r="F34" i="7" s="1"/>
  <c r="D34" i="7"/>
  <c r="C34" i="7"/>
  <c r="B34" i="7"/>
  <c r="Z33" i="7"/>
  <c r="Y33" i="7"/>
  <c r="X33" i="7"/>
  <c r="M33" i="7"/>
  <c r="V33" i="7" s="1"/>
  <c r="L33" i="7"/>
  <c r="J33" i="7"/>
  <c r="K33" i="7" s="1"/>
  <c r="H33" i="7"/>
  <c r="I33" i="7" s="1"/>
  <c r="O33" i="7" s="1"/>
  <c r="E33" i="7"/>
  <c r="U33" i="7" s="1"/>
  <c r="D33" i="7"/>
  <c r="C33" i="7"/>
  <c r="B33" i="7"/>
  <c r="Z32" i="7"/>
  <c r="Y32" i="7"/>
  <c r="X32" i="7"/>
  <c r="M32" i="7"/>
  <c r="V32" i="7" s="1"/>
  <c r="L32" i="7"/>
  <c r="J32" i="7"/>
  <c r="K32" i="7" s="1"/>
  <c r="Q32" i="7" s="1"/>
  <c r="H32" i="7"/>
  <c r="I32" i="7" s="1"/>
  <c r="O32" i="7" s="1"/>
  <c r="E32" i="7"/>
  <c r="F32" i="7" s="1"/>
  <c r="D32" i="7"/>
  <c r="C32" i="7"/>
  <c r="B32" i="7"/>
  <c r="Z31" i="7"/>
  <c r="Y31" i="7"/>
  <c r="X31" i="7"/>
  <c r="M31" i="7"/>
  <c r="V31" i="7" s="1"/>
  <c r="L31" i="7"/>
  <c r="J31" i="7"/>
  <c r="K31" i="7" s="1"/>
  <c r="R31" i="7" s="1"/>
  <c r="H31" i="7"/>
  <c r="I31" i="7" s="1"/>
  <c r="P31" i="7" s="1"/>
  <c r="E31" i="7"/>
  <c r="G31" i="7" s="1"/>
  <c r="D31" i="7"/>
  <c r="C31" i="7"/>
  <c r="B31" i="7"/>
  <c r="Z30" i="7"/>
  <c r="Y30" i="7"/>
  <c r="X30" i="7"/>
  <c r="M30" i="7"/>
  <c r="V30" i="7" s="1"/>
  <c r="L30" i="7"/>
  <c r="J30" i="7"/>
  <c r="K30" i="7" s="1"/>
  <c r="H30" i="7"/>
  <c r="I30" i="7" s="1"/>
  <c r="E30" i="7"/>
  <c r="F30" i="7" s="1"/>
  <c r="D30" i="7"/>
  <c r="C30" i="7"/>
  <c r="B30" i="7"/>
  <c r="Z29" i="7"/>
  <c r="Y29" i="7"/>
  <c r="X29" i="7"/>
  <c r="M29" i="7"/>
  <c r="V29" i="7" s="1"/>
  <c r="L29" i="7"/>
  <c r="J29" i="7"/>
  <c r="K29" i="7" s="1"/>
  <c r="H29" i="7"/>
  <c r="I29" i="7" s="1"/>
  <c r="P29" i="7" s="1"/>
  <c r="E29" i="7"/>
  <c r="U29" i="7" s="1"/>
  <c r="D29" i="7"/>
  <c r="C29" i="7"/>
  <c r="B29" i="7"/>
  <c r="Z28" i="7"/>
  <c r="Y28" i="7"/>
  <c r="X28" i="7"/>
  <c r="M28" i="7"/>
  <c r="V28" i="7" s="1"/>
  <c r="L28" i="7"/>
  <c r="J28" i="7"/>
  <c r="K28" i="7" s="1"/>
  <c r="S28" i="7" s="1"/>
  <c r="H28" i="7"/>
  <c r="I28" i="7" s="1"/>
  <c r="E28" i="7"/>
  <c r="U28" i="7" s="1"/>
  <c r="D28" i="7"/>
  <c r="C28" i="7"/>
  <c r="B28" i="7"/>
  <c r="Z27" i="7"/>
  <c r="Y27" i="7"/>
  <c r="X27" i="7"/>
  <c r="M27" i="7"/>
  <c r="V27" i="7" s="1"/>
  <c r="L27" i="7"/>
  <c r="J27" i="7"/>
  <c r="K27" i="7" s="1"/>
  <c r="H27" i="7"/>
  <c r="I27" i="7" s="1"/>
  <c r="N27" i="7" s="1"/>
  <c r="E27" i="7"/>
  <c r="G27" i="7" s="1"/>
  <c r="D27" i="7"/>
  <c r="C27" i="7"/>
  <c r="B27" i="7"/>
  <c r="Z26" i="7"/>
  <c r="Y26" i="7"/>
  <c r="X26" i="7"/>
  <c r="M26" i="7"/>
  <c r="V26" i="7" s="1"/>
  <c r="L26" i="7"/>
  <c r="J26" i="7"/>
  <c r="K26" i="7" s="1"/>
  <c r="S26" i="7" s="1"/>
  <c r="H26" i="7"/>
  <c r="I26" i="7" s="1"/>
  <c r="P26" i="7" s="1"/>
  <c r="E26" i="7"/>
  <c r="F26" i="7" s="1"/>
  <c r="D26" i="7"/>
  <c r="C26" i="7"/>
  <c r="B26" i="7"/>
  <c r="Z25" i="7"/>
  <c r="Y25" i="7"/>
  <c r="X25" i="7"/>
  <c r="M25" i="7"/>
  <c r="V25" i="7" s="1"/>
  <c r="L25" i="7"/>
  <c r="J25" i="7"/>
  <c r="K25" i="7" s="1"/>
  <c r="H25" i="7"/>
  <c r="I25" i="7" s="1"/>
  <c r="O25" i="7" s="1"/>
  <c r="E25" i="7"/>
  <c r="U25" i="7" s="1"/>
  <c r="D25" i="7"/>
  <c r="C25" i="7"/>
  <c r="B25" i="7"/>
  <c r="Z24" i="7"/>
  <c r="Y24" i="7"/>
  <c r="X24" i="7"/>
  <c r="M24" i="7"/>
  <c r="V24" i="7" s="1"/>
  <c r="L24" i="7"/>
  <c r="J24" i="7"/>
  <c r="K24" i="7" s="1"/>
  <c r="S24" i="7" s="1"/>
  <c r="H24" i="7"/>
  <c r="I24" i="7" s="1"/>
  <c r="O24" i="7" s="1"/>
  <c r="E24" i="7"/>
  <c r="F24" i="7" s="1"/>
  <c r="D24" i="7"/>
  <c r="C24" i="7"/>
  <c r="B24" i="7"/>
  <c r="Z23" i="7"/>
  <c r="Y23" i="7"/>
  <c r="X23" i="7"/>
  <c r="M23" i="7"/>
  <c r="V23" i="7" s="1"/>
  <c r="L23" i="7"/>
  <c r="J23" i="7"/>
  <c r="K23" i="7" s="1"/>
  <c r="R23" i="7" s="1"/>
  <c r="H23" i="7"/>
  <c r="I23" i="7" s="1"/>
  <c r="O23" i="7" s="1"/>
  <c r="E23" i="7"/>
  <c r="G23" i="7" s="1"/>
  <c r="D23" i="7"/>
  <c r="C23" i="7"/>
  <c r="B23" i="7"/>
  <c r="Z22" i="7"/>
  <c r="Y22" i="7"/>
  <c r="X22" i="7"/>
  <c r="M22" i="7"/>
  <c r="V22" i="7" s="1"/>
  <c r="L22" i="7"/>
  <c r="J22" i="7"/>
  <c r="K22" i="7" s="1"/>
  <c r="H22" i="7"/>
  <c r="I22" i="7" s="1"/>
  <c r="E22" i="7"/>
  <c r="F22" i="7" s="1"/>
  <c r="D22" i="7"/>
  <c r="C22" i="7"/>
  <c r="B22" i="7"/>
  <c r="Z21" i="7"/>
  <c r="Y21" i="7"/>
  <c r="X21" i="7"/>
  <c r="M21" i="7"/>
  <c r="V21" i="7" s="1"/>
  <c r="L21" i="7"/>
  <c r="J21" i="7"/>
  <c r="K21" i="7" s="1"/>
  <c r="R21" i="7" s="1"/>
  <c r="H21" i="7"/>
  <c r="I21" i="7" s="1"/>
  <c r="O21" i="7" s="1"/>
  <c r="E21" i="7"/>
  <c r="U21" i="7" s="1"/>
  <c r="D21" i="7"/>
  <c r="C21" i="7"/>
  <c r="B21" i="7"/>
  <c r="Z20" i="7"/>
  <c r="Y20" i="7"/>
  <c r="X20" i="7"/>
  <c r="M20" i="7"/>
  <c r="V20" i="7" s="1"/>
  <c r="L20" i="7"/>
  <c r="J20" i="7"/>
  <c r="K20" i="7" s="1"/>
  <c r="H20" i="7"/>
  <c r="I20" i="7" s="1"/>
  <c r="O20" i="7" s="1"/>
  <c r="E20" i="7"/>
  <c r="F20" i="7" s="1"/>
  <c r="D20" i="7"/>
  <c r="C20" i="7"/>
  <c r="B20" i="7"/>
  <c r="Z19" i="7"/>
  <c r="Y19" i="7"/>
  <c r="X19" i="7"/>
  <c r="M19" i="7"/>
  <c r="V19" i="7" s="1"/>
  <c r="L19" i="7"/>
  <c r="J19" i="7"/>
  <c r="K19" i="7" s="1"/>
  <c r="S19" i="7" s="1"/>
  <c r="H19" i="7"/>
  <c r="I19" i="7" s="1"/>
  <c r="O19" i="7" s="1"/>
  <c r="E19" i="7"/>
  <c r="G19" i="7" s="1"/>
  <c r="D19" i="7"/>
  <c r="C19" i="7"/>
  <c r="B19" i="7"/>
  <c r="Z18" i="7"/>
  <c r="Y18" i="7"/>
  <c r="X18" i="7"/>
  <c r="M18" i="7"/>
  <c r="V18" i="7" s="1"/>
  <c r="L18" i="7"/>
  <c r="J18" i="7"/>
  <c r="K18" i="7" s="1"/>
  <c r="H18" i="7"/>
  <c r="I18" i="7" s="1"/>
  <c r="O18" i="7" s="1"/>
  <c r="E18" i="7"/>
  <c r="F18" i="7" s="1"/>
  <c r="D18" i="7"/>
  <c r="C18" i="7"/>
  <c r="B18" i="7"/>
  <c r="Z17" i="7"/>
  <c r="Y17" i="7"/>
  <c r="X17" i="7"/>
  <c r="M17" i="7"/>
  <c r="V17" i="7" s="1"/>
  <c r="L17" i="7"/>
  <c r="J17" i="7"/>
  <c r="K17" i="7" s="1"/>
  <c r="Q17" i="7" s="1"/>
  <c r="H17" i="7"/>
  <c r="I17" i="7" s="1"/>
  <c r="O17" i="7" s="1"/>
  <c r="E17" i="7"/>
  <c r="U17" i="7" s="1"/>
  <c r="D17" i="7"/>
  <c r="C17" i="7"/>
  <c r="B17" i="7"/>
  <c r="Z16" i="7"/>
  <c r="Y16" i="7"/>
  <c r="X16" i="7"/>
  <c r="M16" i="7"/>
  <c r="V16" i="7" s="1"/>
  <c r="L16" i="7"/>
  <c r="J16" i="7"/>
  <c r="K16" i="7" s="1"/>
  <c r="R16" i="7" s="1"/>
  <c r="H16" i="7"/>
  <c r="I16" i="7" s="1"/>
  <c r="E16" i="7"/>
  <c r="F16" i="7" s="1"/>
  <c r="D16" i="7"/>
  <c r="C16" i="7"/>
  <c r="B16" i="7"/>
  <c r="Z15" i="7"/>
  <c r="Y15" i="7"/>
  <c r="X15" i="7"/>
  <c r="M15" i="7"/>
  <c r="V15" i="7" s="1"/>
  <c r="L15" i="7"/>
  <c r="J15" i="7"/>
  <c r="K15" i="7" s="1"/>
  <c r="S15" i="7" s="1"/>
  <c r="H15" i="7"/>
  <c r="I15" i="7" s="1"/>
  <c r="O15" i="7" s="1"/>
  <c r="E15" i="7"/>
  <c r="G15" i="7" s="1"/>
  <c r="D15" i="7"/>
  <c r="C15" i="7"/>
  <c r="B15" i="7"/>
  <c r="Z14" i="7"/>
  <c r="Y14" i="7"/>
  <c r="X14" i="7"/>
  <c r="M14" i="7"/>
  <c r="V14" i="7" s="1"/>
  <c r="L14" i="7"/>
  <c r="J14" i="7"/>
  <c r="K14" i="7" s="1"/>
  <c r="H14" i="7"/>
  <c r="I14" i="7" s="1"/>
  <c r="E14" i="7"/>
  <c r="F14" i="7" s="1"/>
  <c r="D14" i="7"/>
  <c r="C14" i="7"/>
  <c r="B14" i="7"/>
  <c r="Z13" i="7"/>
  <c r="Y13" i="7"/>
  <c r="X13" i="7"/>
  <c r="M13" i="7"/>
  <c r="V13" i="7" s="1"/>
  <c r="L13" i="7"/>
  <c r="J13" i="7"/>
  <c r="K13" i="7" s="1"/>
  <c r="Q13" i="7" s="1"/>
  <c r="H13" i="7"/>
  <c r="I13" i="7" s="1"/>
  <c r="P13" i="7" s="1"/>
  <c r="E13" i="7"/>
  <c r="U13" i="7" s="1"/>
  <c r="D13" i="7"/>
  <c r="C13" i="7"/>
  <c r="B13" i="7"/>
  <c r="Z12" i="7"/>
  <c r="Y12" i="7"/>
  <c r="X12" i="7"/>
  <c r="M12" i="7"/>
  <c r="V12" i="7" s="1"/>
  <c r="L12" i="7"/>
  <c r="J12" i="7"/>
  <c r="K12" i="7" s="1"/>
  <c r="R12" i="7" s="1"/>
  <c r="H12" i="7"/>
  <c r="I12" i="7" s="1"/>
  <c r="N12" i="7" s="1"/>
  <c r="E12" i="7"/>
  <c r="F12" i="7" s="1"/>
  <c r="D12" i="7"/>
  <c r="C12" i="7"/>
  <c r="B12" i="7"/>
  <c r="Z11" i="7"/>
  <c r="Y11" i="7"/>
  <c r="X11" i="7"/>
  <c r="M11" i="7"/>
  <c r="V11" i="7" s="1"/>
  <c r="L11" i="7"/>
  <c r="J11" i="7"/>
  <c r="K11" i="7" s="1"/>
  <c r="S11" i="7" s="1"/>
  <c r="H11" i="7"/>
  <c r="I11" i="7" s="1"/>
  <c r="O11" i="7" s="1"/>
  <c r="E11" i="7"/>
  <c r="G11" i="7" s="1"/>
  <c r="D11" i="7"/>
  <c r="C11" i="7"/>
  <c r="B11" i="7"/>
  <c r="Z10" i="7"/>
  <c r="Y10" i="7"/>
  <c r="X10" i="7"/>
  <c r="M10" i="7"/>
  <c r="V10" i="7" s="1"/>
  <c r="L10" i="7"/>
  <c r="J10" i="7"/>
  <c r="K10" i="7" s="1"/>
  <c r="H10" i="7"/>
  <c r="I10" i="7" s="1"/>
  <c r="E10" i="7"/>
  <c r="U10" i="7" s="1"/>
  <c r="D10" i="7"/>
  <c r="C10" i="7"/>
  <c r="B10" i="7"/>
  <c r="Z9" i="7"/>
  <c r="Y9" i="7"/>
  <c r="X9" i="7"/>
  <c r="M9" i="7"/>
  <c r="V9" i="7" s="1"/>
  <c r="L9" i="7"/>
  <c r="J9" i="7"/>
  <c r="K9" i="7" s="1"/>
  <c r="H9" i="7"/>
  <c r="I9" i="7" s="1"/>
  <c r="E9" i="7"/>
  <c r="U9" i="7" s="1"/>
  <c r="D9" i="7"/>
  <c r="C9" i="7"/>
  <c r="B9" i="7"/>
  <c r="Z8" i="7"/>
  <c r="Y8" i="7"/>
  <c r="X8" i="7"/>
  <c r="M8" i="7"/>
  <c r="V8" i="7" s="1"/>
  <c r="L8" i="7"/>
  <c r="J8" i="7"/>
  <c r="K8" i="7" s="1"/>
  <c r="H8" i="7"/>
  <c r="I8" i="7" s="1"/>
  <c r="E8" i="7"/>
  <c r="F8" i="7" s="1"/>
  <c r="D8" i="7"/>
  <c r="C8" i="7"/>
  <c r="B8" i="7"/>
  <c r="Z7" i="7"/>
  <c r="Y7" i="7"/>
  <c r="X7" i="7"/>
  <c r="M7" i="7"/>
  <c r="V7" i="7" s="1"/>
  <c r="L7" i="7"/>
  <c r="J7" i="7"/>
  <c r="K7" i="7" s="1"/>
  <c r="H7" i="7"/>
  <c r="I7" i="7" s="1"/>
  <c r="E7" i="7"/>
  <c r="G7" i="7" s="1"/>
  <c r="D7" i="7"/>
  <c r="C7" i="7"/>
  <c r="B7" i="7"/>
  <c r="Z6" i="7"/>
  <c r="Y6" i="7"/>
  <c r="X6" i="7"/>
  <c r="M6" i="7"/>
  <c r="V6" i="7" s="1"/>
  <c r="L6" i="7"/>
  <c r="J6" i="7"/>
  <c r="K6" i="7" s="1"/>
  <c r="H6" i="7"/>
  <c r="I6" i="7" s="1"/>
  <c r="P6" i="7" s="1"/>
  <c r="E6" i="7"/>
  <c r="U6" i="7" s="1"/>
  <c r="D6" i="7"/>
  <c r="C6" i="7"/>
  <c r="B6" i="7"/>
  <c r="Z5" i="7"/>
  <c r="Y5" i="7"/>
  <c r="X5" i="7"/>
  <c r="M5" i="7"/>
  <c r="V5" i="7" s="1"/>
  <c r="L5" i="7"/>
  <c r="J5" i="7"/>
  <c r="K5" i="7" s="1"/>
  <c r="H5" i="7"/>
  <c r="I5" i="7" s="1"/>
  <c r="E5" i="7"/>
  <c r="G5" i="7" s="1"/>
  <c r="D5" i="7"/>
  <c r="C5" i="7"/>
  <c r="B5" i="7"/>
  <c r="Z4" i="7"/>
  <c r="Y4" i="7"/>
  <c r="X4" i="7"/>
  <c r="M4" i="7"/>
  <c r="V4" i="7" s="1"/>
  <c r="L4" i="7"/>
  <c r="J4" i="7"/>
  <c r="K4" i="7" s="1"/>
  <c r="R4" i="7" s="1"/>
  <c r="H4" i="7"/>
  <c r="I4" i="7" s="1"/>
  <c r="P4" i="7" s="1"/>
  <c r="E4" i="7"/>
  <c r="G4" i="7" s="1"/>
  <c r="D4" i="7"/>
  <c r="C4" i="7"/>
  <c r="B4" i="7"/>
  <c r="Z3" i="7"/>
  <c r="Y3" i="7"/>
  <c r="X3" i="7"/>
  <c r="M3" i="7"/>
  <c r="V3" i="7" s="1"/>
  <c r="L3" i="7"/>
  <c r="J3" i="7"/>
  <c r="K3" i="7" s="1"/>
  <c r="H3" i="7"/>
  <c r="I3" i="7" s="1"/>
  <c r="E3" i="7"/>
  <c r="G3" i="7" s="1"/>
  <c r="D3" i="7"/>
  <c r="C3" i="7"/>
  <c r="B3" i="7"/>
  <c r="Z2" i="7"/>
  <c r="Y2" i="7"/>
  <c r="X2" i="7"/>
  <c r="M2" i="7"/>
  <c r="V2" i="7" s="1"/>
  <c r="L2" i="7"/>
  <c r="J2" i="7"/>
  <c r="K2" i="7" s="1"/>
  <c r="H2" i="7"/>
  <c r="I2" i="7" s="1"/>
  <c r="E2" i="7"/>
  <c r="G2" i="7" s="1"/>
  <c r="D2" i="7"/>
  <c r="C2" i="7"/>
  <c r="B2" i="7"/>
  <c r="B3" i="6"/>
  <c r="B3" i="5"/>
  <c r="B3" i="4"/>
  <c r="E27" i="1"/>
  <c r="D27" i="1"/>
  <c r="C27" i="1"/>
  <c r="B27" i="1"/>
  <c r="E26" i="1"/>
  <c r="D26" i="1"/>
  <c r="C26" i="1"/>
  <c r="B26" i="1"/>
  <c r="E25" i="1"/>
  <c r="D25" i="1"/>
  <c r="C25" i="1"/>
  <c r="B25" i="1"/>
  <c r="E24" i="1"/>
  <c r="D24" i="1"/>
  <c r="C24" i="1"/>
  <c r="B24" i="1"/>
  <c r="E23" i="1"/>
  <c r="D23" i="1"/>
  <c r="C23" i="1"/>
  <c r="B23" i="1"/>
  <c r="F33" i="7" l="1"/>
  <c r="G20" i="7"/>
  <c r="G22" i="7"/>
  <c r="F17" i="7"/>
  <c r="U22" i="7"/>
  <c r="G63" i="7"/>
  <c r="U54" i="7"/>
  <c r="W54" i="7" s="1"/>
  <c r="P17" i="7"/>
  <c r="F64" i="7"/>
  <c r="G64" i="7"/>
  <c r="F70" i="7"/>
  <c r="R67" i="7"/>
  <c r="S67" i="7"/>
  <c r="G14" i="7"/>
  <c r="T18" i="7"/>
  <c r="N23" i="7"/>
  <c r="T35" i="7"/>
  <c r="T46" i="7"/>
  <c r="F29" i="7"/>
  <c r="F9" i="7"/>
  <c r="U24" i="7"/>
  <c r="W24" i="7" s="1"/>
  <c r="N44" i="7"/>
  <c r="F7" i="7"/>
  <c r="G9" i="7"/>
  <c r="P44" i="7"/>
  <c r="P10" i="7"/>
  <c r="N10" i="7"/>
  <c r="F6" i="7"/>
  <c r="N56" i="7"/>
  <c r="G67" i="7"/>
  <c r="G6" i="7"/>
  <c r="G13" i="7"/>
  <c r="T25" i="7"/>
  <c r="T29" i="7"/>
  <c r="F54" i="7"/>
  <c r="Q58" i="7"/>
  <c r="Q19" i="7"/>
  <c r="R65" i="7"/>
  <c r="N68" i="7"/>
  <c r="F74" i="7"/>
  <c r="N48" i="7"/>
  <c r="U65" i="7"/>
  <c r="W65" i="7" s="1"/>
  <c r="P68" i="7"/>
  <c r="G17" i="7"/>
  <c r="F19" i="7"/>
  <c r="F23" i="7"/>
  <c r="T36" i="7"/>
  <c r="G40" i="7"/>
  <c r="P48" i="7"/>
  <c r="F58" i="7"/>
  <c r="P64" i="7"/>
  <c r="T10" i="7"/>
  <c r="Q11" i="7"/>
  <c r="T34" i="7"/>
  <c r="G60" i="7"/>
  <c r="S71" i="7"/>
  <c r="Q71" i="7"/>
  <c r="P14" i="7"/>
  <c r="O14" i="7"/>
  <c r="S9" i="7"/>
  <c r="W9" i="7" s="1"/>
  <c r="Q9" i="7"/>
  <c r="S22" i="7"/>
  <c r="Q22" i="7"/>
  <c r="O50" i="7"/>
  <c r="N50" i="7"/>
  <c r="P57" i="7"/>
  <c r="O57" i="7"/>
  <c r="N67" i="7"/>
  <c r="P67" i="7"/>
  <c r="S73" i="7"/>
  <c r="W73" i="7" s="1"/>
  <c r="Q73" i="7"/>
  <c r="P45" i="7"/>
  <c r="O45" i="7"/>
  <c r="N47" i="7"/>
  <c r="P47" i="7"/>
  <c r="R63" i="7"/>
  <c r="S63" i="7"/>
  <c r="Q63" i="7"/>
  <c r="N8" i="7"/>
  <c r="O8" i="7"/>
  <c r="N51" i="7"/>
  <c r="P51" i="7"/>
  <c r="P53" i="7"/>
  <c r="O53" i="7"/>
  <c r="N53" i="7"/>
  <c r="P3" i="7"/>
  <c r="O3" i="7"/>
  <c r="N3" i="7"/>
  <c r="Q20" i="7"/>
  <c r="S20" i="7"/>
  <c r="O10" i="7"/>
  <c r="F11" i="7"/>
  <c r="N17" i="7"/>
  <c r="F21" i="7"/>
  <c r="G29" i="7"/>
  <c r="G32" i="7"/>
  <c r="G33" i="7"/>
  <c r="U58" i="7"/>
  <c r="F66" i="7"/>
  <c r="U67" i="7"/>
  <c r="F68" i="7"/>
  <c r="U16" i="7"/>
  <c r="G21" i="7"/>
  <c r="T41" i="7"/>
  <c r="Q46" i="7"/>
  <c r="G68" i="7"/>
  <c r="N25" i="7"/>
  <c r="N38" i="7"/>
  <c r="Q42" i="7"/>
  <c r="U46" i="7"/>
  <c r="W46" i="7" s="1"/>
  <c r="R49" i="7"/>
  <c r="Q50" i="7"/>
  <c r="N52" i="7"/>
  <c r="N54" i="7"/>
  <c r="S55" i="7"/>
  <c r="O72" i="7"/>
  <c r="Q15" i="7"/>
  <c r="G8" i="7"/>
  <c r="U15" i="7"/>
  <c r="W15" i="7" s="1"/>
  <c r="G16" i="7"/>
  <c r="P25" i="7"/>
  <c r="O26" i="7"/>
  <c r="F27" i="7"/>
  <c r="F31" i="7"/>
  <c r="O34" i="7"/>
  <c r="F35" i="7"/>
  <c r="Q38" i="7"/>
  <c r="N40" i="7"/>
  <c r="U42" i="7"/>
  <c r="U43" i="7"/>
  <c r="F44" i="7"/>
  <c r="G45" i="7"/>
  <c r="R45" i="7"/>
  <c r="F46" i="7"/>
  <c r="G47" i="7"/>
  <c r="U47" i="7"/>
  <c r="F48" i="7"/>
  <c r="G49" i="7"/>
  <c r="U49" i="7"/>
  <c r="W49" i="7" s="1"/>
  <c r="F50" i="7"/>
  <c r="G51" i="7"/>
  <c r="S51" i="7"/>
  <c r="O52" i="7"/>
  <c r="Q54" i="7"/>
  <c r="U55" i="7"/>
  <c r="F56" i="7"/>
  <c r="R56" i="7"/>
  <c r="N60" i="7"/>
  <c r="O61" i="7"/>
  <c r="T69" i="7"/>
  <c r="O75" i="7"/>
  <c r="T53" i="7"/>
  <c r="N13" i="7"/>
  <c r="F15" i="7"/>
  <c r="F25" i="7"/>
  <c r="F38" i="7"/>
  <c r="U38" i="7"/>
  <c r="W38" i="7" s="1"/>
  <c r="P40" i="7"/>
  <c r="O41" i="7"/>
  <c r="F42" i="7"/>
  <c r="G43" i="7"/>
  <c r="G44" i="7"/>
  <c r="G48" i="7"/>
  <c r="U51" i="7"/>
  <c r="F52" i="7"/>
  <c r="U53" i="7"/>
  <c r="G56" i="7"/>
  <c r="P60" i="7"/>
  <c r="U61" i="7"/>
  <c r="G71" i="7"/>
  <c r="F72" i="7"/>
  <c r="F73" i="7"/>
  <c r="U11" i="7"/>
  <c r="W11" i="7" s="1"/>
  <c r="T6" i="7"/>
  <c r="F3" i="7"/>
  <c r="Q6" i="7"/>
  <c r="U12" i="7"/>
  <c r="F13" i="7"/>
  <c r="R13" i="7"/>
  <c r="N19" i="7"/>
  <c r="T23" i="7"/>
  <c r="G25" i="7"/>
  <c r="T27" i="7"/>
  <c r="G30" i="7"/>
  <c r="G39" i="7"/>
  <c r="U39" i="7"/>
  <c r="W39" i="7" s="1"/>
  <c r="F40" i="7"/>
  <c r="G52" i="7"/>
  <c r="U59" i="7"/>
  <c r="F60" i="7"/>
  <c r="G61" i="7"/>
  <c r="Q66" i="7"/>
  <c r="G72" i="7"/>
  <c r="G73" i="7"/>
  <c r="G75" i="7"/>
  <c r="T42" i="7"/>
  <c r="O7" i="7"/>
  <c r="N7" i="7"/>
  <c r="P7" i="7"/>
  <c r="S3" i="7"/>
  <c r="R3" i="7"/>
  <c r="Q3" i="7"/>
  <c r="T3" i="7"/>
  <c r="T7" i="7"/>
  <c r="S7" i="7"/>
  <c r="R7" i="7"/>
  <c r="Q7" i="7"/>
  <c r="T14" i="7"/>
  <c r="S14" i="7"/>
  <c r="R14" i="7"/>
  <c r="Q14" i="7"/>
  <c r="P5" i="7"/>
  <c r="O5" i="7"/>
  <c r="N5" i="7"/>
  <c r="B8" i="8"/>
  <c r="B6" i="8"/>
  <c r="P2" i="7"/>
  <c r="O2" i="7"/>
  <c r="N2" i="7"/>
  <c r="T2" i="7"/>
  <c r="Q5" i="7"/>
  <c r="T5" i="7"/>
  <c r="R5" i="7"/>
  <c r="S5" i="7"/>
  <c r="T9" i="7"/>
  <c r="N9" i="7"/>
  <c r="P9" i="7"/>
  <c r="O9" i="7"/>
  <c r="N16" i="7"/>
  <c r="P16" i="7"/>
  <c r="O16" i="7"/>
  <c r="T8" i="7"/>
  <c r="S8" i="7"/>
  <c r="R8" i="7"/>
  <c r="Q8" i="7"/>
  <c r="S4" i="7"/>
  <c r="F2" i="7"/>
  <c r="U3" i="7"/>
  <c r="T4" i="7"/>
  <c r="R6" i="7"/>
  <c r="P8" i="7"/>
  <c r="F10" i="7"/>
  <c r="R11" i="7"/>
  <c r="O13" i="7"/>
  <c r="R17" i="7"/>
  <c r="R19" i="7"/>
  <c r="Q21" i="7"/>
  <c r="S21" i="7"/>
  <c r="W21" i="7" s="1"/>
  <c r="P23" i="7"/>
  <c r="G26" i="7"/>
  <c r="R27" i="7"/>
  <c r="Q28" i="7"/>
  <c r="N59" i="7"/>
  <c r="P59" i="7"/>
  <c r="O59" i="7"/>
  <c r="Q60" i="7"/>
  <c r="T60" i="7"/>
  <c r="S60" i="7"/>
  <c r="W60" i="7" s="1"/>
  <c r="R60" i="7"/>
  <c r="T61" i="7"/>
  <c r="S61" i="7"/>
  <c r="R61" i="7"/>
  <c r="Q61" i="7"/>
  <c r="O70" i="7"/>
  <c r="P70" i="7"/>
  <c r="N70" i="7"/>
  <c r="T30" i="7"/>
  <c r="R30" i="7"/>
  <c r="S6" i="7"/>
  <c r="W6" i="7" s="1"/>
  <c r="G10" i="7"/>
  <c r="T11" i="7"/>
  <c r="S17" i="7"/>
  <c r="W17" i="7" s="1"/>
  <c r="T19" i="7"/>
  <c r="P22" i="7"/>
  <c r="N22" i="7"/>
  <c r="S25" i="7"/>
  <c r="W25" i="7" s="1"/>
  <c r="Q25" i="7"/>
  <c r="U26" i="7"/>
  <c r="W26" i="7" s="1"/>
  <c r="G28" i="7"/>
  <c r="F28" i="7"/>
  <c r="R29" i="7"/>
  <c r="N33" i="7"/>
  <c r="N35" i="7"/>
  <c r="G37" i="7"/>
  <c r="F37" i="7"/>
  <c r="U41" i="7"/>
  <c r="F41" i="7"/>
  <c r="O66" i="7"/>
  <c r="T66" i="7"/>
  <c r="P66" i="7"/>
  <c r="N66" i="7"/>
  <c r="U2" i="7"/>
  <c r="R43" i="7"/>
  <c r="T43" i="7"/>
  <c r="S43" i="7"/>
  <c r="Q43" i="7"/>
  <c r="U4" i="7"/>
  <c r="U5" i="7"/>
  <c r="W28" i="7"/>
  <c r="Q30" i="7"/>
  <c r="P33" i="7"/>
  <c r="G36" i="7"/>
  <c r="F36" i="7"/>
  <c r="U36" i="7"/>
  <c r="Q52" i="7"/>
  <c r="S52" i="7"/>
  <c r="W52" i="7" s="1"/>
  <c r="R52" i="7"/>
  <c r="T52" i="7"/>
  <c r="F4" i="7"/>
  <c r="N4" i="7"/>
  <c r="Q10" i="7"/>
  <c r="O12" i="7"/>
  <c r="Q16" i="7"/>
  <c r="T17" i="7"/>
  <c r="Q2" i="7"/>
  <c r="O4" i="7"/>
  <c r="F5" i="7"/>
  <c r="R9" i="7"/>
  <c r="R10" i="7"/>
  <c r="G12" i="7"/>
  <c r="P12" i="7"/>
  <c r="S13" i="7"/>
  <c r="W13" i="7" s="1"/>
  <c r="U14" i="7"/>
  <c r="N15" i="7"/>
  <c r="S16" i="7"/>
  <c r="G18" i="7"/>
  <c r="Q18" i="7"/>
  <c r="N21" i="7"/>
  <c r="T22" i="7"/>
  <c r="R22" i="7"/>
  <c r="G24" i="7"/>
  <c r="Q24" i="7"/>
  <c r="P27" i="7"/>
  <c r="O27" i="7"/>
  <c r="P28" i="7"/>
  <c r="O28" i="7"/>
  <c r="N28" i="7"/>
  <c r="S30" i="7"/>
  <c r="G34" i="7"/>
  <c r="U34" i="7"/>
  <c r="N63" i="7"/>
  <c r="T63" i="7"/>
  <c r="P63" i="7"/>
  <c r="O63" i="7"/>
  <c r="Q68" i="7"/>
  <c r="T68" i="7"/>
  <c r="S68" i="7"/>
  <c r="W68" i="7" s="1"/>
  <c r="R68" i="7"/>
  <c r="R2" i="7"/>
  <c r="N6" i="7"/>
  <c r="U7" i="7"/>
  <c r="S10" i="7"/>
  <c r="W10" i="7" s="1"/>
  <c r="Q12" i="7"/>
  <c r="T13" i="7"/>
  <c r="P15" i="7"/>
  <c r="T16" i="7"/>
  <c r="R18" i="7"/>
  <c r="P20" i="7"/>
  <c r="N20" i="7"/>
  <c r="U20" i="7"/>
  <c r="W20" i="7" s="1"/>
  <c r="P21" i="7"/>
  <c r="S23" i="7"/>
  <c r="Q23" i="7"/>
  <c r="T26" i="7"/>
  <c r="R26" i="7"/>
  <c r="Q26" i="7"/>
  <c r="S27" i="7"/>
  <c r="Q27" i="7"/>
  <c r="O29" i="7"/>
  <c r="N29" i="7"/>
  <c r="O31" i="7"/>
  <c r="N31" i="7"/>
  <c r="N32" i="7"/>
  <c r="P32" i="7"/>
  <c r="N39" i="7"/>
  <c r="P39" i="7"/>
  <c r="O39" i="7"/>
  <c r="O42" i="7"/>
  <c r="P42" i="7"/>
  <c r="N42" i="7"/>
  <c r="O46" i="7"/>
  <c r="P46" i="7"/>
  <c r="N46" i="7"/>
  <c r="Q64" i="7"/>
  <c r="T64" i="7"/>
  <c r="S64" i="7"/>
  <c r="W64" i="7" s="1"/>
  <c r="R64" i="7"/>
  <c r="T24" i="7"/>
  <c r="R24" i="7"/>
  <c r="O6" i="7"/>
  <c r="U8" i="7"/>
  <c r="S12" i="7"/>
  <c r="P18" i="7"/>
  <c r="N18" i="7"/>
  <c r="S18" i="7"/>
  <c r="N24" i="7"/>
  <c r="P24" i="7"/>
  <c r="Q29" i="7"/>
  <c r="S29" i="7"/>
  <c r="W29" i="7" s="1"/>
  <c r="P30" i="7"/>
  <c r="O30" i="7"/>
  <c r="N30" i="7"/>
  <c r="T31" i="7"/>
  <c r="S31" i="7"/>
  <c r="Q31" i="7"/>
  <c r="P35" i="7"/>
  <c r="O35" i="7"/>
  <c r="T37" i="7"/>
  <c r="S37" i="7"/>
  <c r="W37" i="7" s="1"/>
  <c r="R37" i="7"/>
  <c r="Q37" i="7"/>
  <c r="Q40" i="7"/>
  <c r="T40" i="7"/>
  <c r="S40" i="7"/>
  <c r="W40" i="7" s="1"/>
  <c r="R40" i="7"/>
  <c r="Q44" i="7"/>
  <c r="T44" i="7"/>
  <c r="S44" i="7"/>
  <c r="W44" i="7" s="1"/>
  <c r="R44" i="7"/>
  <c r="T15" i="7"/>
  <c r="B3" i="8"/>
  <c r="B7" i="1" s="1"/>
  <c r="S2" i="7"/>
  <c r="Q4" i="7"/>
  <c r="N11" i="7"/>
  <c r="R28" i="7"/>
  <c r="T28" i="7"/>
  <c r="E9" i="9"/>
  <c r="D8" i="9"/>
  <c r="B6" i="9"/>
  <c r="C6" i="9" s="1"/>
  <c r="H4" i="9"/>
  <c r="G3" i="9"/>
  <c r="D9" i="9"/>
  <c r="B7" i="9"/>
  <c r="H5" i="9"/>
  <c r="G4" i="9"/>
  <c r="F3" i="9"/>
  <c r="B8" i="9"/>
  <c r="C8" i="9" s="1"/>
  <c r="H6" i="9"/>
  <c r="G5" i="9"/>
  <c r="F4" i="9"/>
  <c r="E3" i="9"/>
  <c r="B9" i="9"/>
  <c r="H7" i="9"/>
  <c r="G6" i="9"/>
  <c r="F5" i="9"/>
  <c r="E4" i="9"/>
  <c r="D3" i="9"/>
  <c r="H8" i="9"/>
  <c r="G7" i="9"/>
  <c r="F6" i="9"/>
  <c r="E5" i="9"/>
  <c r="D4" i="9"/>
  <c r="H9" i="9"/>
  <c r="G8" i="9"/>
  <c r="F7" i="9"/>
  <c r="E6" i="9"/>
  <c r="G9" i="9"/>
  <c r="F8" i="9"/>
  <c r="E7" i="9"/>
  <c r="D6" i="9"/>
  <c r="B4" i="9"/>
  <c r="C4" i="9" s="1"/>
  <c r="F9" i="9"/>
  <c r="E8" i="9"/>
  <c r="D7" i="9"/>
  <c r="B5" i="9"/>
  <c r="H3" i="9"/>
  <c r="D5" i="9"/>
  <c r="B3" i="9"/>
  <c r="P11" i="7"/>
  <c r="T12" i="7"/>
  <c r="N14" i="7"/>
  <c r="R15" i="7"/>
  <c r="U18" i="7"/>
  <c r="P19" i="7"/>
  <c r="R20" i="7"/>
  <c r="T20" i="7"/>
  <c r="T21" i="7"/>
  <c r="O22" i="7"/>
  <c r="R25" i="7"/>
  <c r="T32" i="7"/>
  <c r="T33" i="7"/>
  <c r="S33" i="7"/>
  <c r="W33" i="7" s="1"/>
  <c r="R33" i="7"/>
  <c r="Q33" i="7"/>
  <c r="S35" i="7"/>
  <c r="R35" i="7"/>
  <c r="Q35" i="7"/>
  <c r="Q36" i="7"/>
  <c r="S36" i="7"/>
  <c r="R36" i="7"/>
  <c r="R39" i="7"/>
  <c r="Q39" i="7"/>
  <c r="T39" i="7"/>
  <c r="Q48" i="7"/>
  <c r="T48" i="7"/>
  <c r="S48" i="7"/>
  <c r="W48" i="7" s="1"/>
  <c r="R48" i="7"/>
  <c r="T57" i="7"/>
  <c r="S57" i="7"/>
  <c r="W57" i="7" s="1"/>
  <c r="R57" i="7"/>
  <c r="Q57" i="7"/>
  <c r="U19" i="7"/>
  <c r="W19" i="7" s="1"/>
  <c r="N26" i="7"/>
  <c r="U27" i="7"/>
  <c r="N34" i="7"/>
  <c r="U35" i="7"/>
  <c r="P38" i="7"/>
  <c r="N41" i="7"/>
  <c r="R42" i="7"/>
  <c r="Q45" i="7"/>
  <c r="O47" i="7"/>
  <c r="Q51" i="7"/>
  <c r="P54" i="7"/>
  <c r="T55" i="7"/>
  <c r="F57" i="7"/>
  <c r="N57" i="7"/>
  <c r="R58" i="7"/>
  <c r="U62" i="7"/>
  <c r="W62" i="7" s="1"/>
  <c r="Q67" i="7"/>
  <c r="G69" i="7"/>
  <c r="Q69" i="7"/>
  <c r="T49" i="7"/>
  <c r="G57" i="7"/>
  <c r="T58" i="7"/>
  <c r="T65" i="7"/>
  <c r="N73" i="7"/>
  <c r="P73" i="7"/>
  <c r="R32" i="7"/>
  <c r="N36" i="7"/>
  <c r="N37" i="7"/>
  <c r="R38" i="7"/>
  <c r="Q41" i="7"/>
  <c r="W42" i="7"/>
  <c r="O43" i="7"/>
  <c r="Q47" i="7"/>
  <c r="P50" i="7"/>
  <c r="T51" i="7"/>
  <c r="F53" i="7"/>
  <c r="R54" i="7"/>
  <c r="O56" i="7"/>
  <c r="W58" i="7"/>
  <c r="T67" i="7"/>
  <c r="P69" i="7"/>
  <c r="N69" i="7"/>
  <c r="S69" i="7"/>
  <c r="U71" i="7"/>
  <c r="P72" i="7"/>
  <c r="U30" i="7"/>
  <c r="S32" i="7"/>
  <c r="Q34" i="7"/>
  <c r="O36" i="7"/>
  <c r="O37" i="7"/>
  <c r="T38" i="7"/>
  <c r="R41" i="7"/>
  <c r="P43" i="7"/>
  <c r="T45" i="7"/>
  <c r="U45" i="7"/>
  <c r="W45" i="7" s="1"/>
  <c r="S47" i="7"/>
  <c r="T54" i="7"/>
  <c r="G59" i="7"/>
  <c r="N62" i="7"/>
  <c r="U69" i="7"/>
  <c r="T71" i="7"/>
  <c r="R71" i="7"/>
  <c r="T73" i="7"/>
  <c r="R73" i="7"/>
  <c r="O74" i="7"/>
  <c r="N74" i="7"/>
  <c r="U23" i="7"/>
  <c r="U31" i="7"/>
  <c r="W31" i="7" s="1"/>
  <c r="R34" i="7"/>
  <c r="S41" i="7"/>
  <c r="T47" i="7"/>
  <c r="N49" i="7"/>
  <c r="R50" i="7"/>
  <c r="Q53" i="7"/>
  <c r="O55" i="7"/>
  <c r="Q59" i="7"/>
  <c r="P62" i="7"/>
  <c r="F65" i="7"/>
  <c r="N65" i="7"/>
  <c r="Q70" i="7"/>
  <c r="T72" i="7"/>
  <c r="T74" i="7"/>
  <c r="S74" i="7"/>
  <c r="W74" i="7" s="1"/>
  <c r="Q74" i="7"/>
  <c r="T75" i="7"/>
  <c r="S75" i="7"/>
  <c r="R75" i="7"/>
  <c r="Q75" i="7"/>
  <c r="U32" i="7"/>
  <c r="S34" i="7"/>
  <c r="O49" i="7"/>
  <c r="T50" i="7"/>
  <c r="R53" i="7"/>
  <c r="G55" i="7"/>
  <c r="P55" i="7"/>
  <c r="S56" i="7"/>
  <c r="W56" i="7" s="1"/>
  <c r="N58" i="7"/>
  <c r="S59" i="7"/>
  <c r="F62" i="7"/>
  <c r="Q62" i="7"/>
  <c r="U63" i="7"/>
  <c r="N64" i="7"/>
  <c r="O65" i="7"/>
  <c r="R70" i="7"/>
  <c r="N45" i="7"/>
  <c r="R46" i="7"/>
  <c r="Q49" i="7"/>
  <c r="U50" i="7"/>
  <c r="W50" i="7" s="1"/>
  <c r="O51" i="7"/>
  <c r="S53" i="7"/>
  <c r="Q55" i="7"/>
  <c r="T56" i="7"/>
  <c r="P58" i="7"/>
  <c r="T59" i="7"/>
  <c r="N61" i="7"/>
  <c r="R62" i="7"/>
  <c r="Q65" i="7"/>
  <c r="U66" i="7"/>
  <c r="W66" i="7" s="1"/>
  <c r="O67" i="7"/>
  <c r="T70" i="7"/>
  <c r="O71" i="7"/>
  <c r="S72" i="7"/>
  <c r="W72" i="7" s="1"/>
  <c r="Q72" i="7"/>
  <c r="O73" i="7"/>
  <c r="T62" i="7"/>
  <c r="P71" i="7"/>
  <c r="U75" i="7"/>
  <c r="G74" i="7"/>
  <c r="N75" i="7"/>
  <c r="U70" i="7"/>
  <c r="W70" i="7" s="1"/>
  <c r="W22" i="7" l="1"/>
  <c r="C9" i="9"/>
  <c r="C5" i="9"/>
  <c r="C7" i="9"/>
  <c r="W47" i="7"/>
  <c r="W27" i="7"/>
  <c r="W3" i="7"/>
  <c r="W67" i="7"/>
  <c r="W18" i="7"/>
  <c r="W63" i="7"/>
  <c r="W5" i="7"/>
  <c r="W53" i="7"/>
  <c r="W59" i="7"/>
  <c r="W30" i="7"/>
  <c r="W7" i="7"/>
  <c r="W43" i="7"/>
  <c r="W61" i="7"/>
  <c r="W71" i="7"/>
  <c r="W32" i="7"/>
  <c r="W16" i="7"/>
  <c r="W12" i="7"/>
  <c r="W14" i="7"/>
  <c r="E49" i="10"/>
  <c r="W55" i="7"/>
  <c r="W8" i="7"/>
  <c r="W23" i="7"/>
  <c r="W51" i="7"/>
  <c r="W34" i="7"/>
  <c r="W4" i="7"/>
  <c r="B21" i="10"/>
  <c r="B17" i="10"/>
  <c r="B13" i="10"/>
  <c r="B9" i="10"/>
  <c r="B5" i="10"/>
  <c r="B20" i="10"/>
  <c r="B16" i="10"/>
  <c r="B12" i="10"/>
  <c r="B8" i="10"/>
  <c r="B4" i="10"/>
  <c r="B23" i="10"/>
  <c r="B19" i="10"/>
  <c r="B15" i="10"/>
  <c r="B11" i="10"/>
  <c r="B7" i="10"/>
  <c r="B3" i="10"/>
  <c r="B22" i="10"/>
  <c r="B18" i="10"/>
  <c r="B14" i="10"/>
  <c r="B10" i="10"/>
  <c r="B6" i="10"/>
  <c r="E21" i="10"/>
  <c r="E10" i="10"/>
  <c r="E38" i="10"/>
  <c r="E31" i="10"/>
  <c r="E8" i="10"/>
  <c r="E26" i="10"/>
  <c r="B4" i="8"/>
  <c r="E7" i="1" s="1"/>
  <c r="B7" i="8"/>
  <c r="E27" i="10"/>
  <c r="E14" i="10"/>
  <c r="E46" i="10"/>
  <c r="E39" i="10"/>
  <c r="E12" i="10"/>
  <c r="E34" i="10"/>
  <c r="B9" i="8"/>
  <c r="E35" i="10"/>
  <c r="E18" i="10"/>
  <c r="E3" i="10"/>
  <c r="E47" i="10"/>
  <c r="E16" i="10"/>
  <c r="E42" i="10"/>
  <c r="W69" i="7"/>
  <c r="B10" i="8"/>
  <c r="E43" i="10"/>
  <c r="E22" i="10"/>
  <c r="E7" i="10"/>
  <c r="E24" i="10"/>
  <c r="E20" i="10"/>
  <c r="E50" i="10"/>
  <c r="W41" i="7"/>
  <c r="E5" i="10"/>
  <c r="E28" i="10"/>
  <c r="E29" i="10"/>
  <c r="E11" i="10"/>
  <c r="E32" i="10"/>
  <c r="E25" i="10"/>
  <c r="W2" i="7"/>
  <c r="E9" i="10"/>
  <c r="E36" i="10"/>
  <c r="E37" i="10"/>
  <c r="E15" i="10"/>
  <c r="E40" i="10"/>
  <c r="E33" i="10"/>
  <c r="W75" i="7"/>
  <c r="W35" i="7"/>
  <c r="B11" i="8"/>
  <c r="K7" i="1" s="1"/>
  <c r="E13" i="10"/>
  <c r="E44" i="10"/>
  <c r="E45" i="10"/>
  <c r="E19" i="10"/>
  <c r="E48" i="10"/>
  <c r="E41" i="10"/>
  <c r="C3" i="9"/>
  <c r="B14" i="8"/>
  <c r="B13" i="8"/>
  <c r="E10" i="1" s="1"/>
  <c r="W36" i="7"/>
  <c r="B5" i="8"/>
  <c r="E17" i="10"/>
  <c r="E6" i="10"/>
  <c r="E30" i="10"/>
  <c r="E23" i="10"/>
  <c r="E4" i="10"/>
  <c r="B12" i="8" l="1"/>
  <c r="B10" i="1" s="1"/>
  <c r="H7" i="1"/>
</calcChain>
</file>

<file path=xl/sharedStrings.xml><?xml version="1.0" encoding="utf-8"?>
<sst xmlns="http://schemas.openxmlformats.org/spreadsheetml/2006/main" count="1093" uniqueCount="498">
  <si>
    <t>Legal Dashboard (LD) – Monthly Report</t>
  </si>
  <si>
    <t>Source file: query_LD Monthly_report_Mar 26 ver.2.xlsx | Template structure reference: TLS8001_Legal_Compliance_Dashboard_March Ver2.0_13032026.xlsx</t>
  </si>
  <si>
    <t>Total Legal Requirements</t>
  </si>
  <si>
    <t>Active Laws</t>
  </si>
  <si>
    <t>Implemented</t>
  </si>
  <si>
    <t>Active Pending</t>
  </si>
  <si>
    <t>Implemented %</t>
  </si>
  <si>
    <t>Top Exposure Category</t>
  </si>
  <si>
    <t>Data Quality Watch
Blank Date = 1 | Future Date = 3 | Missing Ref. No. = 51</t>
  </si>
  <si>
    <t>Executive Highlights
• Total 74 รายการ | Active 71 (95.9%) | Inactive 3
• Implemented 69 (93.2%) | Evaluated 4 | Under Review 1
• Active Pending 3 รายการ ต้องเร่งติดตามเชิงปฏิบัติการ
• Top exposure = กฎหมายคุ้มครองแรงงาน (28 รายการ)
• Future monitoring 3 รายการ | Blank Date 1 รายการ
• รอบนี้ยังไม่มีฐานเปรียบเทียบเดือนก่อนหน้าในไฟล์ต้นทาง</t>
  </si>
  <si>
    <t>Data Notes / Recommendations
• ใช้ Compliance Implementation Status และ Legal Validity Status เป็น KPI หลัก
• รายการ Active แต่ยังไม่ Implemented ให้จัดเป็น priority follow-up
• แยก Inactive ออกจาก active action plan และจัด archive logic ให้ชัดเจน
• เพิ่ม field Owner / Due Date / Evidence Log เพื่อยกระดับ dashboard รายเดือน
• รายการ future date ควรแยกเป็น upcoming legal monitoring</t>
  </si>
  <si>
    <t>Top Action Backlog / Priority Review</t>
  </si>
  <si>
    <t>คำอธิบายรายงาน: เดือนมีนาคม 2569
รายงานฉบับนี้จัดทำในรูปแบบ Professional Legal Dashboard – Modern Executive โดยใช้โครงสร้าง dashboard จากไฟล์ตัวอย่างและอัปเดตข้อมูลจริงจาก Legal Compliance Management System เพื่อใช้ติดตามจำนวนข้อกำหนดทั้งหมด สถานะการดำเนินการ ความพร้อมเชิง compliance หมวดกฎหมายที่มี exposure สูง ประเด็น backlog และ data quality observation สำหรับการทบทวนรายเดือนของผู้บริหารและผู้เกี่ยวข้อง ทั้งนี้รอบปัจจุบันยังไม่มีข้อมูล month-on-month baseline จึงสรุปในลักษณะ current month snapshot</t>
  </si>
  <si>
    <t>Law / Requirement</t>
  </si>
  <si>
    <t>Category</t>
  </si>
  <si>
    <t>Status</t>
  </si>
  <si>
    <t>Validity</t>
  </si>
  <si>
    <t>กฎหมายใหม่ล่าสุด</t>
  </si>
  <si>
    <t>เกณฑ์การคัดเลือก: เลือกเฉพาะรายการที่มีวันที่ล่าสุดที่สุดในข้อมูล = 01/12/2026</t>
  </si>
  <si>
    <t>จำนวนรายการ</t>
  </si>
  <si>
    <t>คัดจากคอลัมน์ Date of Issue / Effective Date</t>
  </si>
  <si>
    <t>Subject</t>
  </si>
  <si>
    <t>No</t>
  </si>
  <si>
    <t>Document ID / Reference No.</t>
  </si>
  <si>
    <t>Legal / Regulatory Title</t>
  </si>
  <si>
    <t>Date of Issue / Effective Date</t>
  </si>
  <si>
    <t>Legal Reference Link</t>
  </si>
  <si>
    <t>Key Legal &amp; Regulatory Requirements</t>
  </si>
  <si>
    <t>Compliance Implementation Status</t>
  </si>
  <si>
    <t>(Y) Compliant / (N) Non-Compliant</t>
  </si>
  <si>
    <t>Implementation Guidance &amp; Evidence Examples</t>
  </si>
  <si>
    <t>Legal Validity Status</t>
  </si>
  <si>
    <t>Approval status</t>
  </si>
  <si>
    <t>ประกาศคณะกรรมการการแพทย์ตามพระราชบัญญัติประกันสังคม</t>
  </si>
  <si>
    <t>กฎหมายประกันสังคม</t>
  </si>
  <si>
    <t>ประกาศคณะกรรมการการแพทย์ตามพระราชบัญญัติประกันสังคม เรื่อง หลักเกณฑ์และอัตราค่าบริการทางการแพทย์เพื่อเพิ่มประสิทธิภาพการเข้าถึงการรักษาของผู้ประกันตนในระบบประกันสังคม</t>
  </si>
  <si>
    <t>https://ratchakitcha.soc.go.th/documents/102381.pdf</t>
  </si>
  <si>
    <t>ประกาศฉบับนี้เป็นกฎหมายที่กำหนด หลักเกณฑ์และอัตราค่าบริการทางการแพทย์เพิ่มเติมเป็นการเฉพาะ เพื่อสนับสนุนการรักษาผู้ประกันตนใน 2 กลุ่มโรคสำคัญ คือ
1) โรคหลอดเลือดสมองอุดตัน โดยเฉพาะหัตถการ Thrombectomy
2) โรคหัวใจและหลอดเลือด โดยเฉพาะการสวนหัวใจ การขยายหลอดเลือดหัวใจ และหัตถการหัวใจเฉพาะทางอื่น ๆ</t>
  </si>
  <si>
    <t>จริง</t>
  </si>
  <si>
    <t>1) ทบทวน ทะเบียนกฎหมายและข้อกำหนดที่เกี่ยวข้อง ให้ครอบคลุมประกาศนี้ โดยเฉพาะในส่วนสิทธิประโยชน์ด้านการรักษาพยาบาลของผู้ประกันตน
2) สื่อสารให้ HR, welfare, พยาบาลวิชาชีพ, เจ้าหน้าที่ประกันสังคม และลูกจ้างทราบว่า ผู้ประกันตนสามารถเข้าถึงการรักษาภาวะฉุกเฉินบางประเภทได้ภายใต้หลักเกณฑ์ใหม่ของประกันสังคม
3) ใช้เป็นข้อมูลสนับสนุนด้าน employee well-being และ labour welfare โดยเฉพาะในองค์กรที่มีลูกจ้างกลุ่มเสี่ยงโรคหัวใจ โรคหลอดเลือดสมอง หรือโรคไม่ติดต่อเรื้อรังจำนวนมาก
4) บูรณาการเข้ากับระบบ มรท.8001 ในด้าน การอบรม/การสื่อสารสิทธิ, การจัดการสวัสดิการ, และ การดูแลแรงงานหลังเจ็บป่วยหรือกลับเข้าทำงาน เพื่อช่วยให้แรงงานเข้าถึงสิทธิได้รวดเร็วขึ้น
5) ในการตรวจติดตามภายใน องค์กรอาจตรวจว่ามีการสื่อสารสิทธิประโยชน์ประกันสังคมที่สำคัญแก่ลูกจ้างอย่างทั่วถึงหรือไม่ โดยเฉพาะกรณีโรครุนแรงที่ต้องรักษาเร่งด่วน</t>
  </si>
  <si>
    <t>Active</t>
  </si>
  <si>
    <t>กฎหมายประจำเดือน</t>
  </si>
  <si>
    <t>เกณฑ์การคัดเลือก: เลือกเฉพาะรายการในเดือนล่าสุดที่สุดของข้อมูล = 12/2026</t>
  </si>
  <si>
    <t>กฎหมายในปีล่าสุด</t>
  </si>
  <si>
    <t>เกณฑ์การคัดเลือก: เลือกเฉพาะรายการในปีล่าสุดที่สุดของข้อมูล = 2026</t>
  </si>
  <si>
    <t>ประกาศกระทรวงแรงงาน</t>
  </si>
  <si>
    <t>กฎหมายจัดหางาน</t>
  </si>
  <si>
    <t>ประกาศกระทรวงแรงงาน เรื่อง การอนุญาตให้คนต่างด้าวทำงานในราชอาณาจักรเป็นการเฉพาะ สำหรับคนต่างด้าวสัญชาติลาวและเวียดนาม ซึ่งได้รับอนุญาตให้ทำงานถึงวันที่ 13 กุมภาพันธ์ 2569 ตามมติคณะรัฐมนตรีเมื่อวันที่ 2 ธันวาคม 2568</t>
  </si>
  <si>
    <t>https://ratchakitcha.soc.go.th/documents/99072.pdf</t>
  </si>
  <si>
    <t>ะกาศฉบับนี้เป็นมาตรการเฉพาะสำหรับ คนต่างด้าวสัญชาติลาวและเวียดนาม ที่ได้รับอนุญาตให้ทำงานอยู่แล้วและสิทธิเดิมสิ้นสุดวันที่ 13 กุมภาพันธ์ 2569 โดยเปิดทางให้ดำเนินการต่ออายุการทำงานในราชอาณาจักรต่อไปภายใต้เงื่อนไขที่กำหนด และให้นายทะเบียนพิจารณาอนุญาตทำงานได้ถึงวันที่ 13 กุมภาพันธ์ 2570 หากเอกสารถูกต้องครบถ้วน</t>
  </si>
  <si>
    <t>1) ทบทวน ทะเบียนกฎหมายและข้อกำหนด ให้ครอบคลุมประกาศฉบับนี้ รวมถึงกฎหมายคนเข้าเมือง การบริหารจัดการการทำงานของคนต่างด้าว และข้อกำหนดเรื่องประกันสุขภาพ/ประกันสังคมที่เกี่ยวข้อง 2) จัดทำ บัญชีรายชื่อแรงงานต่างด้าวที่เข้าเงื่อนไข และติดตามวันครบกำหนดของการตรวจสุขภาพ ประกันสุขภาพ การยื่นคำขอ และเอกสารที่ใช้แทนใบอนุญาตทำงานอย่างใกล้ชิด 3) ควบคุม เอกสารสำคัญ เช่น ใบรับคำขอ ใบเสร็จรับเงิน ใบอนุญาตทำงาน หลักฐานการตรวจสุขภาพ หลักฐานประกันสุขภาพ/ประกันสังคม และเอกสารเปลี่ยนนายจ้าง ให้พร้อมต่อการตรวจติดตาม 4) ทบทวนขั้นตอน onboarding, renewal, transfer, labour document control และมอบหมายผู้รับผิดชอบระหว่าง HR, นายจ้าง, ตัวแทน, และผู้รับเหมา ให้ชัดเจน 5) บรรจุประเด็นนี้ไว้ใน internal audit / legal compliance review ของ มรท.8001 โดยตรวจว่ามีแรงงานทำงานก่อนโดยมีเอกสารรองรับถูกต้องหรือไม่ มีการทำประกันครบหรือไม่ และมีแรงงานใดเสี่ยงหลุดสถานะหรือไม่ 6) ใช้ในการอบรมผู้เกี่ยวข้องเพื่อป้องกันความเสี่ยงเรื่อง แรงงานต่างด้าวทำงานโดยเอกสารไม่ครบ, ประกันไม่ถูกต้อง, หรือ เปลี่ยนนายจ้างไม่เป็นไปตามเงื่อนไข ซึ่งอาจกระทบทั้งด้านกฎหมายและการรับรองระบบแรงงาน</t>
  </si>
  <si>
    <t>ประกาศกระทรวงแรงงาน เรื่อง การอนุญาตให้คนต่างด้าวทำงานในราชอาณาจักรเป็นการเฉพาะ สำหรับคนต่างด้าวสัญชาติลาว เมียนมา และเวียดนาม ซึ่งได้รับอนุญาตให้ทำงานถึงวันที่ 31 มีนาคม 2569 ตามมติคณะรัฐมนตรีเมื่อวันที่ 2 ธันวาคม 2568</t>
  </si>
  <si>
    <t>https://ratchakitcha.soc.go.th/documents/99070.pdf</t>
  </si>
  <si>
    <t>ประกาศฉบับนี้เป็นมาตรการเฉพาะสำหรับคนต่างด้าว สัญชาติลาว เมียนมา และเวียดนาม ที่ได้รับอนุญาตให้ทำงานอยู่แล้วและสิทธิเดิมสิ้นสุดวันที่ 31 มีนาคม 2569 โดยเปิดทางให้ดำเนินการต่ออายุการทำงานต่อไปภายใต้เงื่อนไขที่กำหนด และเมื่อนายทะเบียนตรวจสอบครบถ้วนแล้ว สามารถอนุญาตทำงานได้ถึงวันที่ 31 มีนาคม 2570</t>
  </si>
  <si>
    <t>1) ทบทวน ทะเบียนกฎหมายและข้อกำหนดที่เกี่ยวข้อง ให้ครอบคลุมประกาศฉบับนี้ รวมถึงกฎหมายคนเข้าเมือง กฎหมายบริหารจัดการการทำงานของคนต่างด้าว และข้อกำหนดเรื่องประกันสุขภาพ/ประกันสังคมที่เกี่ยวข้อง 2) จัดทำ บัญชีรายชื่อแรงงานต่างด้าวที่เข้าเงื่อนไข และติดตามวันครบกำหนดของการตรวจสุขภาพ ประกันสุขภาพ การยื่นคำขอ และเอกสารแทนใบอนุญาตทำงาน 3) ควบคุม เอกสารสำคัญ เช่น ใบรับคำขอ ใบเสร็จรับเงิน ใบอนุญาตทำงาน หลักฐานการตรวจสุขภาพ หลักฐานประกันสุขภาพ/ประกันสังคม และเอกสารเปลี่ยนนายจ้าง ให้พร้อมต่อการตรวจติดตาม 4) ทบทวนขั้นตอน onboarding, renewal, transfer, labour document control ให้ชัดเจนระหว่าง HR, หน่วยงานสนับสนุน, นายจ้าง และผู้รับเหมา 5)บรรจุประเด็นนี้ไว้ใน internal audit / legal compliance review ของ มรท.8001 โดยเฉพาะการตรวจแรงงานต่างด้าวว่าทำงานโดยมีเอกสารรองรับถูกต้องหรือไม่ มีประกันครบหรือไม่ และมีรายใดเสี่ยงหลุดสถานะหรือไม่</t>
  </si>
  <si>
    <t>ประกาศคณะกรรมการการแพทย์ตามพระราชบัญญัติประกันสังคม เรื่อง หลักเกณฑ์และอัตราสำหรับประโยชน์ทดแทนในกรณีประสบอันตรายหรือเจ็บป่วยอันมิใช่เนื่องจากการทำงาน</t>
  </si>
  <si>
    <t>https://ratchakitcha.soc.go.th/documents/102373.pdf</t>
  </si>
  <si>
    <t>ประกาศฉบับนี้เป็น กฎหมายแก้ไขเพิ่มเติม จากประกาศคณะกรรมการการแพทย์ตามพระราชบัญญัติประกันสังคม เรื่องเดียวกัน ลงวันที่ 25 ธันวาคม 2564 และที่แก้ไขเพิ่มเติมภายหลัง โดยในฉบับนี้มีสาระสำคัญ 2 ส่วนหลัก คือ แก้ไขข้อความข้อ 5/1 เดิม และ เพิ่มข้อ 9 ว่าด้วยการผ่าตัดรักษาโรคอ้วนรุนแรง/โรคร่วมจากภาวะอ้วน</t>
  </si>
  <si>
    <t>1) ทบทวน ทะเบียนกฎหมายและข้อกำหนดที่เกี่ยวข้อง ให้ครอบคลุมประกาศฉบับนี้ โดยเฉพาะในส่วนสิทธิประโยชน์ด้านการแพทย์ของผู้ประกันตน
2) ประสาน HR, หน่วยงานสวัสดิการ, แพทย์/พยาบาลประจำสถานประกอบกิจการ หรือผู้ดูแล employee well-being เพื่อ สื่อสารสิทธิการรักษา แก่ลูกจ้างที่อาจเข้าเกณฑ์
3) ใช้เป็นข้อมูลสนับสนุน โครงการส่งเสริมสุขภาพแรงงาน เช่น การควบคุมน้ำหนัก การป้องกันโรคไม่ติดต่อเรื้อรัง และการดูแลแรงงานที่มีความเสี่ยงด้านสุขภาพ
4) ในการตรวจติดตามภายใน มรท.8001 องค์กรอาจตรวจว่าได้มีการ สื่อสารสิทธิประกันสังคมและสิทธิด้านสุขภาพ ให้ลูกจ้างอย่างเหมาะสมหรือไม่
5) หากองค์กรมีแรงงานที่มีภาวะอ้วนรุนแรงหรือโรคร่วมจำนวนมาก ประกาศนี้อาจช่วยลดผลกระทบด้านสุขภาพ การขาดงาน และเพิ่มโอกาสกลับสู่การทำงานอย่างมีประสิทธิภาพได้</t>
  </si>
  <si>
    <t>ประกาศคณะกรรมการส่งเสริมการพัฒนาฝีมือแรงงาน</t>
  </si>
  <si>
    <t>กฎหมายพัฒนาฝีมือแรงงาน</t>
  </si>
  <si>
    <t>ประกาศคณะกรรมการส่งเสริมการพัฒนาฝีมือแรงงาน เรื่อง หลักเกณฑ์การใช้จ่ายเงินเพื่อช่วยเหลือหรืออุดหนุนจากกองทุนพัฒนาฝีมือแรงงาน (ฉบับที่ ๒)</t>
  </si>
  <si>
    <t>1/21/2026</t>
  </si>
  <si>
    <t>https://ratchakitcha.soc.go.th/documents/101869.pdf</t>
  </si>
  <si>
    <t>เหตุผลหลักของการออกประกาศฉบับนี้ คือเพื่อแก้ไขเพิ่มเติมหลักเกณฑ์เดิมให้ครอบคลุมกรณีที่ผู้ประกอบกิจการจัดให้มีการฝึกอบรมฝีมือแรงงานแก่ลูกจ้างของตนในหลักสูตรเฉพาะที่เกี่ยวข้องกับ นวัตกรรมหรือปัญญาประดิษฐ์ /AI เพื่อรองรับการพัฒนาเทคโนโลยี และเพื่อให้หลักเกณฑ์การใช้จ่ายเงินจากกองทุนพัฒนาฝีมือแรงงานมีความเหมาะสมยิ่งขึ้น</t>
  </si>
  <si>
    <t>1) บันทึกกฎหมายฉบับนี้ไว้ใน ทะเบียนกฎหมายและข้อกำหนดที่เกี่ยวข้อง หากองค์กรมีการใช้สิทธิจากกองทุนพัฒนาฝีมือแรงงาน 2) จัดทำหรือทบทวน ขั้นตอนการวางแผนอบรม การขออนุมัติหลักสูตร การเก็บหลักฐานการฝึกอบรม และการยื่นคำขอรับเงินอุดหนุน ให้สอดคล้องกับประกาศฉบับนี้ 3) ใช้เป็นฐานสนับสนุนการพัฒนาทักษะแรงงานในหลักสูตรที่เกี่ยวข้องกับ นวัตกรรม/AI ซึ่งช่วยยกระดับความสามารถของแรงงานและความพร้อมขององค์กรในระยะยาว 4) ในการตรวจติดตามภายใน ควรตรวจดูว่าองค์กรมี หลักฐานการอบรม, การเห็นชอบหลักสูตร, การคำนวณสิทธิ, และการยื่นคำขอภายในกำหนดเวลา ครบถ้วนหรือไม่ 5) ในเชิงระบบ เอกสารนี้มีผลต่อ การควบคุมเอกสาร, การติดตามความสอดคล้องตามกฎหมาย, การอบรม และการจัดการบันทึกหลักฐาน มากกว่าการกำหนดสิทธิขั้นพื้นฐานของลูกจ้างโดยตรง</t>
  </si>
  <si>
    <t>ประกาศคณะกรรมการการแพทย์ตามพระราชบัญญัติประกันสังคม เรื่อง หลักเกณฑ์และอัตราค่าส่งเสริมสุขภาพและป้องกันโรคสำหรับประโยชน์ทดแทนในกรณีประสบอันตรายหรือเจ็บป่วยอันมิใช่เนื่องจากการทำงาน พ.ศ. ๒๕๖๘</t>
  </si>
  <si>
    <t>1/15/2026</t>
  </si>
  <si>
    <t>https://ratchakitcha.soc.go.th/documents/101606.pdf</t>
  </si>
  <si>
    <t>ประกาศฉบับนี้เป็น กฎหมายแก้ไขเพิ่มเติม โดยแก้ไขข้อความใน ข้อ ๒/๒ ของประกาศคณะกรรมการการแพทย์ตามพระราชบัญญัติประกันสังคม เรื่อง หลักเกณฑ์และอัตราค่าส่งเสริมสุขภาพและป้องกันโรคสำหรับประโยชน์ทดแทนในกรณีประสบอันตรายหรือเจ็บป่วยอันมิใช่เนื่องจากการทำงาน ลงวันที่ ๑๖ ธันวาคม ๒๕๕๙ ซึ่งต่อมาได้มีการแก้ไขเพิ่มเติมอีกครั้งโดยประกาศ พ.ศ. ๒๕๖๓ ลงวันที่ ๙ ธันวาคม ๒๕๖๓ แล้วให้ใช้ข้อความใหม่แทน</t>
  </si>
  <si>
    <t>1) ทบทวน ทะเบียนกฎหมายและข้อกำหนดที่เกี่ยวข้อง ให้ครอบคลุมประกาศฉบับนี้ หากองค์กรมีลูกจ้างที่เป็นผู้ประกันตนอายุ ๕๐ ปีขึ้นไป
2) ใช้เป็นข้อมูลในการจัดทำหรือสื่อสาร แผนสวัสดิการและส่งเสริมสุขภาพแรงงาน ร่วมกับ HR, Admin, Safety หรือพยาบาลวิชาชีพประจำสถานประกอบกิจการ
3) ประชาสัมพันธ์สิทธิให้ลูกจ้างกลุ่มเป้าหมายทราบอย่างทั่วถึง เช่น ช่วงเวลาใช้สิทธิ สถานพยาบาลที่กำหนด และเงื่อนไขการรับบริการ
4) ใช้เป็นหลักฐานสนับสนุนด้าน labour welfare / employee well-being ในระบบ มรท.8001 และในการตรวจติดตามภายใน องค์กรอาจตรวจว่ามีการสื่อสารสิทธิประโยชน์ด้านสุขภาพแก่ลูกจ้างอย่างเหมาะสมหรือไม่
5) หากองค์กรมีโครงการสร้างเสริมสุขภาพพนักงานอยู่แล้ว สามารถบูรณาการข้อมูลนี้เข้ากับกิจกรรมด้านสุขภาพประจำปี เพื่อยกระดับคุณภาพชีวิตแรงงานและลดความเสี่ยงด้านสุขภาพจากโรคตามฤดูกาล</t>
  </si>
  <si>
    <t>Source_Row</t>
  </si>
  <si>
    <t>Legal_Title</t>
  </si>
  <si>
    <t>Issue_Date</t>
  </si>
  <si>
    <t>Year</t>
  </si>
  <si>
    <t>Year_Month</t>
  </si>
  <si>
    <t>Status_Raw</t>
  </si>
  <si>
    <t>Status_Norm</t>
  </si>
  <si>
    <t>Validity_Raw</t>
  </si>
  <si>
    <t>Validity_Norm</t>
  </si>
  <si>
    <t>Compliant</t>
  </si>
  <si>
    <t>Evidence</t>
  </si>
  <si>
    <t>Is_Implemented</t>
  </si>
  <si>
    <t>Is_Identified</t>
  </si>
  <si>
    <t>Is_Evaluated</t>
  </si>
  <si>
    <t>Is_Active</t>
  </si>
  <si>
    <t>Is_Inactive</t>
  </si>
  <si>
    <t>Is_Blank_Validity</t>
  </si>
  <si>
    <t>Is_Active_Pending</t>
  </si>
  <si>
    <t>Has_Blank_Date</t>
  </si>
  <si>
    <t>Has_Blank_Evidence</t>
  </si>
  <si>
    <t>Data_Issue_Flag</t>
  </si>
  <si>
    <t>Reference_Link</t>
  </si>
  <si>
    <t>Document_ID</t>
  </si>
  <si>
    <t>Subject_Type</t>
  </si>
  <si>
    <t>พระราชบัญญัติ</t>
  </si>
  <si>
    <t>กฎหมายคุ้มครองแรงงาน</t>
  </si>
  <si>
    <t>พระราชบัญญัติคุ้มครองแรงงาน พ.ศ. 2541 และที่แก้ไขเพิ่มเติม</t>
  </si>
  <si>
    <t>2/20/1998</t>
  </si>
  <si>
    <t>https://legal.labour.go.th/images/law/Protection2541/2541_labour_protection.pdf</t>
  </si>
  <si>
    <t>พระราชบัญญัติฉบับนี้มีขึ้นเพื่อปรับปรุงกฎหมายแรงงานให้เหมาะสมกับสถานการณ์ในปัจจุบัน โดยยกเลิกประกาศเดิมที่ใช้มานานและไม่ทันต่อการเปลี่ยนแปลงของรูปแบบการจ้างงานและบริบททางเศรษฐกิจ–สังคม กฎหมายฉบับใหม่นี้มุ่งส่งเสริมความเป็นธรรมในการจ้างงาน เพิ่มประสิทธิภาพในการคุ้มครองแรงงาน และให้อำนาจเจ้าหน้าที่สามารถตรวจสอบสถานประกอบการได้อย่างเหมาะสม เพื่อให้แรงงานได้รับสิทธิตามกฎหมาย และนายจ้างได้รับประโยชน์จากแรงงานที่มีคุณภาพ ช่วยเสริมสร้างเสถียรภาพทางเศรษฐกิจในระยะยาวของประเทศ.</t>
  </si>
  <si>
    <t>สื่อสารผ่าน e-smart/ idoc / ข้อบังคับการทำงาน</t>
  </si>
  <si>
    <t>พระราชบัญญัติส่งเสริมการพัฒนาฝีมือแรงงาน พ.ศ. 2545 และที่แก้ไขเพิ่มเติม</t>
  </si>
  <si>
    <t>9/22/2002</t>
  </si>
  <si>
    <t>https://idev.dsd.go.th/~law/qr1/01%20%A1%AE%CB%C1%D2%C2%B7%D5%E8%E0%A1%D5%E8%C2%C7%A2%E9%CD%A7%A1%D1%BA%A1%D2%C3%BE%D1%B2%B9%D2%BD%D5%C1%D7%CD%E1%C3%A7%A7%D2%B9/%20%BE%C3%D0%C3%D2%AA%BA%D1%AD%AD%D1%B5%D4/1.%20%BE%C3%D0%C3%D2%AA%BA%D1%AD%AD%D1%B5%D4%CA%E8%A7%E0%CA%C3%D4%C1%A1%D2%C3%BE%D1%B2%B9%D2%BD%D5%C1%D7%CD%E1%C3%A7%A7%D2%B9%20%BE.%C8.2545%20%E1%C5%D0%B7%D5%E8%E1%A1%E9%E4%A2%E0%BE%D4%E8%C1%E0%B5%D4%C1.pdf</t>
  </si>
  <si>
    <t>พระราชบัญญัติส่งเสริมการพัฒนาฝีมือแรงงาน พ.ศ. 2545 ตราขึ้นเพื่อให้ครอบคลุมหรือเพียงพอต่อการส่งเสริมและพัฒนาฝีมือแรงงานในยุคปัจจุบัน ทั้งในด้านการพัฒนาทักษะ ความรู้ความสามารถ การรับรองมาตรฐานฝีมือแรงงาน และการสร้างความปลอดภัยในสถานประกอบกิจการ ภายหลังได้มีความจำเป็นต้องปรับปรุงกฎหมายให้เหมาะสมกับสถานการณ์ โดยส่งเสริมให้นายจ้างหรือสถานประกอบกิจการมีบทบาทสำคัญในการพัฒนาทักษะลูกจ้างให้เป็นระบบ และสามารถใช้ผลการประเมินความรู้ความสามารถเป็นหลักฐานในการประกอบอาชีพหรือรับสิทธิประโยชน์จากรัฐได้ เพื่อส่งเสริมให้แรงงานไทยมีทักษะสูงขึ้น สอดคล้องกับความต้องการของตลาดแรงงาน และยกระดับขีดความสามารถในการแข่งขันของประเทศ</t>
  </si>
  <si>
    <t>สื่อสารผ่าน e-smart/ idoc / ขั้นตอนการปฏิบัติงานเกี่ยวกับพัฒนาฝีมือแรงงาน</t>
  </si>
  <si>
    <t>กฎหมายแรงงานสัมพันธ์</t>
  </si>
  <si>
    <t>พระราชบัญญัติแรงงานสัมพันธ์ พ.ศ. 2518</t>
  </si>
  <si>
    <t>2/14/1975</t>
  </si>
  <si>
    <t>https://legal.labour.go.th/images/law/Relation2518/labour_relation2518.pdf</t>
  </si>
  <si>
    <t>พระราชบัญญัตินี้ถูกประกาศใช้เนื่องจากประกาศของคณะปฏิวัติฉบับที่ 13 (16 มีนาคม 2517) เกี่ยวกับแรงงานสัมพันธ์ไม่เหมาะสมกับสภาพเศรษฐกิจและสังคมปัจจุบัน จึงมีการกำหนดหลักเกณฑ์ใหม่เกี่ยวกับการยื่นข้อเรียกร้องและการระงับข้อพิพาทแรงงานที่เหมาะสม โดยนายจ้างต้องจัดตั้งสหภาพนายจ้างและลูกจ้างต้องจัดตั้งสหภาพแรงงาน เพื่อคุ้มครองผลประโยชน์ด้านการจ้าง สวัสดิการ และส่งเสริมความสัมพันธ์ระหว่างนายจ้างกับลูกจ้าง รวมถึงให้ลูกจ้างจัดตั้งคณะกรรมการลูกจ้างเป็นองค์กรในการหารือกับนายจ้างเพื่อความเข้าใจและหาทางปรองดองในการทำงานร่วมกัน</t>
  </si>
  <si>
    <t>สื่อสารผ่าน e-smart/ idoc</t>
  </si>
  <si>
    <t>กฎหมาย อื่น ๆ</t>
  </si>
  <si>
    <t>พระราชบัญญัติป้องกันและปราบปรามการค้ามนุษย์ พ.ศ. 2551 และฉบับที่แก้ไขเพิ่มเติม</t>
  </si>
  <si>
    <t>12/30/2008</t>
  </si>
  <si>
    <t>https://web.parliament.go.th/aseanrelated_law/files/file_20170817115531_0.pdf</t>
  </si>
  <si>
    <t>พระราชบัญญัตินี้ประกาศใช้เนื่องจากพระราชบัญญัติมาตรการในการป้องกันและปราบปรามการค้าหญิงและเด็ก พ.ศ. ๒๕๔๐ ยังไม่ครอบคลุมการกระทำเพื่อแสวงหาประโยชน์โดยมิชอบจากบุคคลที่มิได้จำกัดเฉพาะหญิงและเด็ก และรูปแบบการค้ามนุษย์ที่หลากหลายขึ้น ประกอบกับประเทศไทยได้ลงนามอนุสัญญาสหประชาชาติเพื่อต่อต้านอาชญากรรมข้ามชาติที่จัดตั้งในลักษณะองค์กร จึงสมควรกำหนดลักษณะความผิดให้ครอบคลุมการกระทำดังกล่าวเพื่อเพิ่มประสิทธิภาพในการป้องกันและปราบปรามการค้ามนุษย์ สอดคล้องกับพันธกรณีของอนุสัญญาฯ รวมถึงปรับปรุงการช่วยเหลือและคุ้มครองสวัสดิภาพผู้เสียหายให้เหมาะสม เพื่อประโยชน์สูงสุดของผู้เสียหาย</t>
  </si>
  <si>
    <t>พระราชบัญญัติประกันสังคม พ.ศ. 2533 และฉบับที่แก้ไขเพิ่มเติม</t>
  </si>
  <si>
    <t>https://www.mol.go.th/wp-content/uploads/sites/2/2021/02/2-%E0%B8%9E%E0%B8%A3%E0%B8%9A.%E0%B8%9B%E0%B8%A3%E0%B8%B0%E0%B8%81%E0%B8%B1%E0%B8%99%E0%B8%AA%E0%B8%B1%E0%B8%87%E0%B8%84%E0%B8%A1-%E0%B8%9E.%E0%B8%A8.-2533.pdf</t>
  </si>
  <si>
    <t>พระราชบัญญัติฉบับนี้จัดตั้งระบบประกันสังคมเพื่อให้ลูกจ้างได้รับความคุ้มครองด้านค่ารักษาพยาบาล ค่าชดเชยรายได้ ทุพพลภาพ เสียชีวิต คลอดบุตร และชราภาพ โดยจัดตั้งกองทุนประกันสังคมที่ได้รับเงินสมทบจากนายจ้าง ลูกจ้าง และรัฐ เพื่อบริหารจัดการให้ความช่วยเหลือผู้ประกันตนในกรณีที่ประสบเหตุจำเป็นต่าง ๆ โดยมีสำนักงานประกันสังคมเป็นหน่วยงานรับผิดชอบหลัก</t>
  </si>
  <si>
    <t>พระราชบัญญัติเงินทดแทน พ.ศ. 2537 และฉบับที่แก้ไขเพิ่มเติม</t>
  </si>
  <si>
    <t>6/14/1994</t>
  </si>
  <si>
    <t>https://www.sso.go.th/wpr/assets/upload/files_storage/sso_th/84244ea51a2464c0713a98ddd8cc0955.pdf</t>
  </si>
  <si>
    <t>พระราชบัญญัติฉบับนี้จัดตั้งระบบเงินทดแทนขึ้นเพื่อให้ความคุ้มครองแก่ลูกจ้างกรณีได้รับอันตราย ทุพพลภาพ หรือเสียชีวิตจากการทำงาน โดยนายจ้างต้องจ่ายเงินทดแทนตามอัตราที่กฎหมายกำหนด รวมถึงให้สำนักงานประกันสังคมเป็นผู้บริหารระบบเงินทดแทน เพื่อดูแลสิทธิของลูกจ้างในการได้รับค่ารักษาพยาบาล ค่าฟื้นฟูสมรรถภาพ ค่าทำศพ หรือค่าชดเชยรายได้ตามเงื่อนไขที่บัญญัติไว้ในกฎหมาย</t>
  </si>
  <si>
    <t>พระราชกฤษฎีกา</t>
  </si>
  <si>
    <t>พระราชกฤษฎีกา กำหนดระยะเวลาเริ่มดำเนินการจัดเก็บเงินสะสมและเงินสมทบกองทุนสงเคราะห์ลูกจ้าง พ.ศ. 2567</t>
  </si>
  <si>
    <t>11/15/2024</t>
  </si>
  <si>
    <t>https://legal.labour.go.th/images/law/Protection2541/2567/EWF_14-11-67.pdf</t>
  </si>
  <si>
    <t>พระราชกฤษฎีกาฉบับนี้มีขึ้นเพื่อรองรับการดำเนินการตามมาตรา 133 แห่งพระราชบัญญัติคุ้มครองแรงงาน พ.ศ. 2541 ซึ่งกำหนดให้มีการจัดเก็บเงินสะสมและเงินสมทบเข้ากองทุนสงเคราะห์ลูกจ้างในหมวด 13 โดยจะมีผลบังคับใช้เมื่อมีการประกาศเป็นพระราชกฤษฎีกาอย่างเป็นทางการ ดังนั้นจึงมีความจำเป็นต้องตราพระราชกฤษฎีกานี้เพื่อให้สามารถดำเนินการตามกฎหมายได้.</t>
  </si>
  <si>
    <t>Evaluated</t>
  </si>
  <si>
    <t>กฎกระทรวง</t>
  </si>
  <si>
    <t>กฎกระทรวง กำหนดค่าล่วงเวลาและค่าตอบแทนการทำงานที่เกินวันละแปดชั่วโมง ในงานเฝ้าดูแลสถานที่หรือทรัพย์สินอันเป็นหน้าที่การทำงานปกติของลูกจ้าง พ.ศ. 2568</t>
  </si>
  <si>
    <t>4/24/2025</t>
  </si>
  <si>
    <t>https://ratchakitcha.soc.go.th/documents/68372.pdf</t>
  </si>
  <si>
    <t>กฎกระทรวงฉบับนี้มีขึ้นเพื่อยกเลิกกฎกระทรวงเดิมที่ไม่เปิดโอกาสให้ลูกจ้างในงานที่ดูแลสถานที่หรือทรัพย์สินได้รับค่าล่วงเวลาและค่าทำงานในวันหยุด ทั้งที่ปฏิบัติงานตามคำสั่งนายจ้างอย่างต่อเนื่อง โดยพระราชบัญญัติคุ้มครองแรงงานได้ถูกแก้ไขเพิ่มเติมให้สอดคล้องกับสภาพการจ้างที่เปลี่ยนแปลงไปและให้ลูกจ้างกลุ่มนี้ได้รับสิทธิคุ้มครองเช่นเดียวกับลูกจ้างทั่วไป ดังนั้น จึงจำเป็นต้องออกกฎกระทรวงฉบับใหม่นี้เพื่อให้เป็นไปตามแนวทางของกฎหมายฉบับแก้ไขใหม่.</t>
  </si>
  <si>
    <t>กฎกระทรวง กำหนดหลักเกณฑ์และวิธีการจัดการสงเคราะห์แก่ลูกจ้าง ในกรณีที่ลูกจ้างออกจากงานหรือตาย พ.ศ. 2567</t>
  </si>
  <si>
    <t>11/21/2025</t>
  </si>
  <si>
    <t>https://legal.labour.go.th/images/law/Protection2541/2567/EWF2_14-11-67.pdf</t>
  </si>
  <si>
    <t>กฎกระทรวงฉบับนี้มีขึ้นเพื่อกำหนดหลักเกณฑ์และวิธีการสงเคราะห์ลูกจ้างที่นายจ้างไม่สามารถจ่ายเงินสงเคราะห์ได้ในกรณีที่ลูกจ้างออกจากงานหรือตาย ซึ่งตามมาตรา 130 วรรคสอง แห่งพระราชบัญญัติคุ้มครองแรงงาน พ.ศ. 2541 ระบุให้ลูกจ้างในกรณีดังกล่าวได้รับสิทธิในเงินสงเคราะห์จากกองทุนฯ แต่กฎหมายยังไม่ได้กำหนดหลักเกณฑ์อย่างชัดเจน จึงจำเป็นต้องออกกฎกระทรวงนี้เพื่อให้การสงเคราะห์เป็นไปอย่างมีหลักเกณฑ์และเกิดประโยชน์แก่ลูกจ้างหรือทายาทของลูกจ้าง.</t>
  </si>
  <si>
    <t>Inactive</t>
  </si>
  <si>
    <t>กฎกระทรวง กำหนดอัตราเงินสะสมและเงินสมทบกองทุนสงเคราะห์ลูกจ้าง พ.ศ. 2567</t>
  </si>
  <si>
    <t>11/22/2025</t>
  </si>
  <si>
    <t>https://legal.labour.go.th/images/law/Protection2541/2567/EWF1_14-11-67.pdf</t>
  </si>
  <si>
    <t>กฎกระทรวงฉบับนี้มีขึ้นเพื่อกำหนดหลักเกณฑ์ให้ลูกจ้างที่เป็นสมาชิกกองทุนสงเคราะห์ลูกจ้าง และได้รับค่าจ้างจากนายจ้าง ต้องถูกหักเงินส่วนหนึ่งเข้ากองทุนทุกครั้งที่ได้รับค่าจ้าง โดยอัตราการหักต้องไม่เกินร้อยละห้าของค่าจ้างตามที่กำหนดในกฎกระทรวง ทั้งนี้เพื่อให้การดำเนินงานของกองทุนมีความต่อเนื่องและเป็นไปตามกฎหมาย จึงมีความจำเป็นต้องออกกฎกระทรวงนี้.</t>
  </si>
  <si>
    <t>กฎกระทรวง กำหนดประเภทของสถานประกอบกิจการและการดำเนินการของสถานประกอบกิจการในการป้องกันและแก้ไขปัญหาการตั้งครรภ์ในวัยรุ่นแก่ลูกจ้างซึ่งเป็นวัยรุ่น พ.ศ. 2561</t>
  </si>
  <si>
    <t>11/16/2018</t>
  </si>
  <si>
    <t>https://legal.labour.go.th/images/law/Protection2541/2561_21.PDF</t>
  </si>
  <si>
    <t>กฎกระทรวงฉบับนี้กำหนดให้สถานประกอบกิจการทุกประเภทต้องดำเนินการให้ข้อมูล ความรู้ และมาตรการเพื่อป้องกันและแก้ไขปัญหาการตั้งครรภ์ในวัยรุ่นแก่ลูกจ้างที่เป็นวัยรุ่นอย่างเหมาะสม ครอบคลุมด้านความรู้เรื่องการคุมกำเนิด การเลี้ยงดูบุตรหลังคลอด และโรคติดต่อทางเพศสัมพันธ์ โดยอาจจัดให้มีบริการให้คำปรึกษา หรือส่งต่อหน่วยบริการด้านสาธารณสุขหรือสวัสดิการที่เกี่ยวข้อง ทั้งนี้เพื่อให้ลูกจ้างวัยรุ่นได้รับความคุ้มครองและมีคุณภาพชีวิตที่เหมาะสมในการทำงาน</t>
  </si>
  <si>
    <t>กฎกระทรวง ว่าด้วยการจัดสวัสดิการในสถานประกอบกิจการ พ.ศ. 2548</t>
  </si>
  <si>
    <t>3/29/2005</t>
  </si>
  <si>
    <t>https://legal.labour.go.th/images/law/Protection2541/2541_17.pdf</t>
  </si>
  <si>
    <t>กฎกระทรวงฉบับนี้กำหนดให้สถานประกอบกิจการต้องจัดให้มีน้ำดื่มสะอาด ห้องน้ำ ห้องอาบน้ำ รวมถึงห้องส้วมที่เพียงพอ แยกชายหญิง และเหมาะสมกับลักษณะงานหรือคนพิการ และในสถานที่ทำงานต้องจัดให้มีห้องพยาบาลหรือบริการปฐมพยาบาลเบื้องต้น รวมถึงสถานพยาบาลหากลูกจ้างเจ็บป่วย ทั้งนี้เพื่อส่งเสริมสุขภาพและความเป็นอยู่ที่เหมาะสมของลูกจ้างในทุกสถานประกอบกิจการ</t>
  </si>
  <si>
    <t>กฎกระทรวง กำหนดอัตราน้ำหนักให้ลูกจ้างทำงานได้ พ.ศ. 2547</t>
  </si>
  <si>
    <t>4/23/2004</t>
  </si>
  <si>
    <t>https://legal.labour.go.th/images/law/Protection2541/2541_15.pdf</t>
  </si>
  <si>
    <t>กฎกระทรวงฉบับนี้กำหนดน้ำหนักสูงสุดที่นายจ้างสามารถให้ลูกจ้างแบก หาม หาบ ทูน ลาก หรือเข็นของหนักได้อย่างปลอดภัย โดยจำกัดไม่ให้เกินอัตราที่เหมาะสมกับเพศและอายุของลูกจ้าง เช่น เด็กหญิงและเด็กชายอายุต่ำกว่า 18 ปี ห้ามแบกของเกิน 15–20 กิโลกรัม และในกรณีทั่วไปลูกจ้างหญิงห้ามทำงานแบกของเกิน 25 กิโลกรัม ส่วนลูกจ้างชายไม่เกิน 55 กิโลกรัม ทั้งนี้เพื่อป้องกันการบาดเจ็บและอันตรายจากการทำงาน และเพื่อให้สอดคล้องกับหลักการคุ้มครองแรงงานอย่างปลอดภัยและเหมาะสม</t>
  </si>
  <si>
    <t>กฎกระทรวง ฉบับที่ 2 (พ.ศ. 2541) ออกตามความในพระราชบัญญัติคุ้มครองแรงงาน พ.ศ. 2541</t>
  </si>
  <si>
    <t>8/19/1998</t>
  </si>
  <si>
    <t>https://legal.labour.go.th/images/law/Protection2541/2541_2.pdf</t>
  </si>
  <si>
    <t>กฎกระทรวงฉบับนี้กำหนดให้นายจ้างต้องจำกัดเวลาทำงานปกติไม่เกินวันละแปดชั่วโมงสำหรับงานทุกประเภท และในกรณีของงานที่มีลักษณะเสี่ยงต่อสุขภาพหรือความปลอดภัย เช่น งานในที่อับอากาศ งานเกี่ยวกับสารเคมี งานที่ต้องใช้ความร้อนหรือเครื่องจักรอันตราย ฯลฯ นายจ้างต้องจัดมาตรการควบคุมความเสี่ยงตามมาตรฐานความปลอดภัยที่กฎกระทรวงกำหนด ไม่สามารถยืดหยุ่นหรือปรับปรุงให้ทำงานเกินเวลาได้ และต้องมีมาตรการป้องกันที่เข้มงวดเพื่อคุ้มครองลูกจ้างจากอันตรายในการทำงาน</t>
  </si>
  <si>
    <t>กฎกระทรวง ฉบับที่ 3 (พ.ศ. 2541) ออกตามความในพระราชบัญญัติคุ้มครองแรงงาน พ.ศ. 2541</t>
  </si>
  <si>
    <t>https://legal.labour.go.th/images/law/Protection2541/2541_3.pdf</t>
  </si>
  <si>
    <t>กฎกระทรวงฉบับนี้กำหนดให้จำนวนชั่วโมงการทำงานล่วงเวลาและการทำงานในวันหยุดรวมกันในแต่ละสัปดาห์ต้องไม่เกิน 36 ชั่วโมง และในกรณีที่มีการทำงานในวันหยุด ชั่วโมงดังกล่าวต้องนับรวมเป็นชั่วโมงล่วงเวลาด้วย ทั้งนี้เพื่อควบคุมไม่ให้ลูกจ้างทำงานเกินความเหมาะสม และรักษาสิทธิของลูกจ้างในการพักผ่อนและสภาพการทำงานที่เป็นธรรมตามเจตนารมณ์ของพระราชบัญญัติคุ้มครองแรงงาน.</t>
  </si>
  <si>
    <t>กฎกระทรวง ฉบับที่ 4 (พ.ศ. 2541) ออกตามความในพระราชบัญญัติคุ้มครองแรงงาน พ.ศ. 2541</t>
  </si>
  <si>
    <t>https://legal.labour.go.th/images/law/Protection2541/2541_4.pdf</t>
  </si>
  <si>
    <t>กฎกระทรวงฉบับนี้กำหนดให้นายจ้างสามารถให้ลูกจ้างทำงานในวันหยุดตามประเพณีได้ในบางกรณี เช่น งานในโรงแรม ร้านอาหาร สถานบันเทิง สถานพยาบาล หรือธุรกิจท่องเที่ยว รวมถึงงานในพื้นที่ห่างไกลหรือทุรกันดาร และงานขนส่งหรือติดต่อที่หากหยุดงานจะกระทบต่อการดำเนินงาน ทั้งนี้เพื่อให้กิจการที่มีลักษณะพิเศษสามารถดำเนินต่อเนื่องได้โดยไม่กระทบต่อบริการหรือความเสียหายของงานนั้น ๆ</t>
  </si>
  <si>
    <t>กฎกระทรวง ฉบับที่ 5 (พ.ศ. 2541) ออกตามความในพระราชบัญญัติคุ้มครองแรงงาน พ.ศ. 2541</t>
  </si>
  <si>
    <t>https://legal.labour.go.th/images/law/Protection2541/2541_5.pdf</t>
  </si>
  <si>
    <t>กฎกระทรวงฉบับนี้กำหนดให้ลูกจ้างมีสิทธิเข้ารับการฝึกอบรมหรือฝึกหัดทางวิชาการเพื่อพัฒนาความรู้และเพิ่มประสิทธิภาพในการทำงาน โดยนายจ้างต้องแจ้งล่วงหน้าและไม่เรียกเก็บค่าใช้จ่ายใด ๆ ทั้งสิ้น รวมถึงต้องระบุหลักสูตรและระยะเวลาให้ชัดเจน และห้ามนำข้อมูลจากการอบรมไปใช้ในทางที่ไม่เกี่ยวข้องหรือให้ประโยชน์แก่ผู้อื่นที่ไม่ได้เข้าร่วมอบรม</t>
  </si>
  <si>
    <t>กฎกระทรวง ฉบับที่ 6 (พ.ศ. 2541) ออกตามความในพระราชบัญญัติคุ้มครองแรงงาน พ.ศ. 2541</t>
  </si>
  <si>
    <t>https://legal.labour.go.th/images/law/Protection2541/2541_6.pdf</t>
  </si>
  <si>
    <t>กฎกระทรวงฉบับนี้ห้ามนายจ้างให้เด็กอายุต่ำกว่า 18 ปีทำงานบางประเภทที่อาจเป็นอันตราย เช่น งานเกี่ยวกับเครื่องจักร งานยกของหนัก งานในเรือเดินทะเล งานผลิตสุรา บุหรี่ หรือยาเสพติด และงานที่อาจกระทบต่อสุขภาพ ความปลอดภัย หรือศีลธรรมของเด็ก เพื่อคุ้มครองสวัสดิภาพและพัฒนาการที่เหมาะสมของเยาวชนในวัยทำงาน</t>
  </si>
  <si>
    <t>กฎกระทรวง ฉบับที่ 12 (พ.ศ. 2541) ออกตามความในพระราชบัญญัติคุ้มครองแรงงาน พ.ศ. 2541</t>
  </si>
  <si>
    <t>9/14/1998</t>
  </si>
  <si>
    <t>https://legal.labour.go.th/images/law/Protection2541/2541_12.pdf</t>
  </si>
  <si>
    <t>กฎกระทรวงฉบับนี้ออกตามพระราชบัญญัติคุ้มครองแรงงาน พ.ศ. 2541 เพื่อกำหนดรายละเอียดเกี่ยวกับการทำงานในวันหยุดของลูกจ้างรายวัน รายสัปดาห์ หรือรายอื่นที่ไม่ใช่รายเดือน โดยมีเนื้อหาหลักคือ ให้นายจ้างสามารถให้ลูกจ้างทำงานในวันหยุดได้หากลูกจ้างยินยอม และต้องได้รับค่าจ้างเพิ่มตามที่กฎหมายกำหนด นอกจากนี้ยังระบุกรณีที่ลูกจ้างทำงานต่อเนื่องถึงวันหยุด โดยให้นับชั่วโมงการทำงานในวันหยุดรวมกับชั่วโมงปกติ และให้นับค่าจ้างในอัตราพิเศษตามช่วงเวลาที่เกินจากเวลาทำงานปกติ ทั้งนี้เพื่อให้การจ่ายค่าจ้างและการจัดสรรเวลาทำงานเป็นธรรมตามสิทธิที่ลูกจ้างพึงได้รับ.</t>
  </si>
  <si>
    <t>กฎกระทรวง ฉบับที่ 13 (พ.ศ. 2543) ออกตามความในพระราชบัญญัติคุ้มครองแรงงาน พ.ศ. 2541</t>
  </si>
  <si>
    <t>1/24/2000</t>
  </si>
  <si>
    <t>https://legal.labour.go.th/images/law/Protection2541/2541_13.pdf</t>
  </si>
  <si>
    <t>กฎกระทรวงฉบับนี้กำหนดให้การหยุดงานกรณีพนักงานลาคลอด หรือลาป่วยที่เกี่ยวกับการคลอดบุตร ต้องไม่ถือเป็นการขาดงานหรือกระทบสิทธิของลูกจ้าง โดยให้นายจ้างและลูกจ้างตกลงกำหนดเวลาทำงานที่ยืดหยุ่นได้ตามความเหมาะสม แต่ไม่เกิน 8 ชั่วโมงต่อวัน และไม่เกิน 48 ชั่วโมงต่อสัปดาห์ ทั้งนี้ให้ยกเลิกกฎกระทรวง ฉบับที่ 7 (พ.ศ. 2541) เพื่อปรับปรุงให้เหมาะสมกับสถานการณ์แรงงานในปัจจุบัน โดยเน้นความยืดหยุ่นในการจัดเวลาทำงานที่คำนึงถึงความจำเป็นของลูกจ้าง และความเห็นชอบร่วมกันระหว่างลูกจ้างและนายจ้าง.</t>
  </si>
  <si>
    <t>กฎกระทรวงกำหนดอัตราเงินสมทบกองทุนประกันสังคม พ.ศ. 2565</t>
  </si>
  <si>
    <t>https://www.sso.go.th/wpr/assets/upload/files_storage/sso_th/61b1cf134d15fcbbcf8f791d9b838367.pdf</t>
  </si>
  <si>
    <t>กฎกระทรวงฉบับนี้กำหนดอัตราเงินสมทบเข้ากองทุนประกันสังคม สำหรับกรณีประสบอันตราย เจ็บป่วย ทุพพลภาพ ตาย คลอดบุตร และกรณีสงเคราะห์บุตร รวมถึงกรณีชราภาพและว่างงาน โดยแบ่งภาระระหว่างนายจ้าง ลูกจ้าง และรัฐ เช่น การสมทบกรณีเจ็บป่วยและคลอดบุตรจะอยู่ที่ 0.5% ของค่าจ้าง ส่วนกรณีชราภาพและว่างงานจะอยู่ที่ 3.0% ตามบัญชีแนบท้าย เพื่อให้การบริหารกองทุนมีความยั่งยืนและเพียงพอรองรับสิทธิประโยชน์ของผู้ประกันตนอย่างต่อเนื่อง</t>
  </si>
  <si>
    <t>กฎกระทรวงค่าฟื้นฟูสมรรถภาพในการทำงานที่ให้นายจ้างจ่าย พ.ศ. 2563</t>
  </si>
  <si>
    <t>3/26/2020</t>
  </si>
  <si>
    <t>https://www.sso.go.th/wpr/assets/upload/files_storage/sso_th/8742268c94cafccf89f30ddc50c83af5.pdf</t>
  </si>
  <si>
    <t>กฎกระทรวงฉบับนี้กำหนดให้นายจ้างเป็นผู้รับผิดชอบค่าใช้จ่ายในการฟื้นฟูสมรรถภาพของลูกจ้างที่ประสบอันตรายหรือเจ็บป่วยจากการทำงาน เช่น ค่าฝึกอาชีพ ค่าอุปกรณ์ทางการแพทย์ ค่าพาหนะ และค่าใช้จ่ายอื่นตามที่คณะกรรมการการแพทย์เห็นสมควร โดยมีเพดานค่าใช้จ่ายสูงสุดในแต่ละกรณี เพื่อให้ลูกจ้างสามารถกลับไปทำงานหรือประกอบอาชีพได้อย่างมีประสิทธิภาพและเหมาะสมกับสภาพร่างกาย</t>
  </si>
  <si>
    <t>กฎกระทรวง ค่ารักษาพยาบาลที่ให้นายจ้างจ่าย พ.ศ. 2563</t>
  </si>
  <si>
    <t>https://www.sso.go.th/wpr/assets/upload/files_storage/sso_th/8e53d6555bb1dacfe7e1a420467424e5.pdf</t>
  </si>
  <si>
    <t>กฎกระทรวงฉบับนี้กำหนดให้ยกเลิกกฎกระทรวงค่ารักษาพยาบาลฉบับเดิม และให้ใช้อัตราใหม่ในกรณีลูกจ้างได้รับอันตรายจากการทำงาน โดยนายจ้างต้องรับผิดชอบค่ารักษาพยาบาลตามความจำเป็น ไม่เกินเพดานที่กำหนด เช่น ค่าห้อง ค่าอาหาร ค่ารักษาพยาบาลทั่วไป ค่ายา และค่าบริการพยาบาล ทั้งนี้รวมถึงกรณีที่ลูกจ้างเข้ารับการรักษาต่อเนื่องหรือมีเหตุพิเศษที่จำเป็นต้องใช้อุปกรณ์หรือบริการเพิ่มเติม โดยต้องได้รับความเห็นชอบจากคณะกรรมการการแพทย์ ทั้งหมดนี้เพื่อให้ลูกจ้างได้รับการรักษาอย่างเพียงพอและลดภาระจากการเจ็บป่วยที่เกี่ยวข้องกับการทำงาน</t>
  </si>
  <si>
    <t>กฎกระทรวง กำหนดอัตราค่าทำศพที่ให้นายจ้างจ่าย พ.ศ. 2565</t>
  </si>
  <si>
    <t>https://www.sso.go.th/wpr/assets/upload/files_storage/sso_th/35959cbcd4d03cb4a672596e54f9a9f8.pdf</t>
  </si>
  <si>
    <t>กฎกระทรวงฉบับนี้กำหนดให้นายจ้างจ่ายค่าทำศพให้แก่ผู้จัดการศพของลูกจ้างที่เสียชีวิตจากการทำงานหรือในขณะปฏิบัติงาน โดยให้อัตราการจ่ายเป็นไปตามที่กระทรวงกำหนดในแต่ละช่วงเวลา ทั้งนี้ประกาศฉบับใหม่นี้มีผลยกเลิกกฎกระทรวงฉบับเก่าปี พ.ศ. 2563 และให้ใช้บังคับกับกรณีที่ลูกจ้างเสียชีวิตตั้งแต่วันที่ 9 ธันวาคม 2564 เป็นต้นไป เพื่อให้สอดคล้องกับภาระค่าครองชีพและสภาพเศรษฐกิจในปัจจุบัน</t>
  </si>
  <si>
    <t>กฎกระทรวง กำหนดหลักเกณฑ์และอัตราการได้รับประโยชน์ทดแทนในการว่างงาน พ.ศ. 2547</t>
  </si>
  <si>
    <t>6/30/2022</t>
  </si>
  <si>
    <t>https://ratchakitcha.soc.go.th/documents/142482.pdf</t>
  </si>
  <si>
    <t>กฎกระทรวงฉบับนี้กำหนดหลักเกณฑ์และอัตราที่ผู้ประกันตนจะได้รับเงินทดแทนในกรณีว่างงาน โดยมีสิทธิตามมาตรา 33 และ 39 ของพระราชบัญญัติประกันสังคม ได้แก่ ได้รับเงินชดเชยร้อยละ 50 ของค่าจ้างรายวัน ครั้งหนึ่งไม่เกิน 180 วันต่อปี  หรือร้อยละ 30 ในกรณีลาออกหรือสิ้นสุดสัญญาจ้าง ครั้งหนึ่งไม่เกิน 90 วันต่อปี  ทั้งนี้หากไม่ได้ทำงานอีกภายในช่วงเวลากำหนดยังสามารถขอต่อสิทธิได้ในปีถัดไป ผู้ว่างงานต้องรายงานตัวตามที่กำหนดและต้องไม่ได้มีงานทำหรือมีรายได้จากแหล่งอื่นจึงจะได้รับเงินประโยชน์ทดแทน</t>
  </si>
  <si>
    <t>กฎกระทรวง การได้รับประโยชน์ทดแทนในการขาดรายได้กรณีเหตุสุดวิสัย พ.ศ. 2560</t>
  </si>
  <si>
    <t>1/17/2017</t>
  </si>
  <si>
    <t>https://ratchakitcha.soc.go.th/documents/2096789.pdf</t>
  </si>
  <si>
    <t>กฎกระทรวงฉบับนี้กำหนดให้ผู้ประกันตนสามารถขอรับเงินทดแทนรายได้ในกรณีเหตุสุดวิสัย เช่น โรคระบาด อัคคีภัย หรือภัยพิบัติอื่นที่อยู่นอกเหนือการควบคุม ทำให้ไม่สามารถไปทำงานได้ตามปกติ โดยมีเงื่อนไขว่าต้องไม่ได้รับค่าจ้างจากนายจ้างในช่วงเวลานั้น และนายจ้าง และ/หรือหน่วยงานราชการต้องออกหนังสือรับรองเหตุสุดวิสัย ผู้ประกันตนสามารถยื่นคำร้องขอรับสิทธิได้ตามแบบที่กำหนดเพื่อรับเงินชดเชยในช่วงเวลาที่ขาดรายได้</t>
  </si>
  <si>
    <t>e-smart / I-Document</t>
  </si>
  <si>
    <t>กฎกระทรวง การจ่ายประโยชน์ทดแทนในกรณีสงเคราะห์บุตร (ฉบับที่ 3) พ.ศ. 2567</t>
  </si>
  <si>
    <t>12/26/2024</t>
  </si>
  <si>
    <t>https://ratchakitcha.soc.go.th/documents/54513.pdf</t>
  </si>
  <si>
    <t>กฎกระทรวงฉบับนี้แก้ไขเพิ่มเติมอัตราการจ่ายเงินสงเคราะห์บุตรให้แก่ผู้ประกันตน โดยกำหนดให้ได้รับเงินเดือนละ 1,000 บาท ต่อบุตรหนึ่งคน ซึ่งเป็นการแก้ไขจากฉบับเดิมเพื่อให้สอดคล้องกับค่าครองชีพที่เพิ่มขึ้น และสนับสนุนภาระค่าใช้จ่ายในการเลี้ยงดูบุตรของผู้ประกันตน</t>
  </si>
  <si>
    <t>ประกาศสำนักงานประกันสังคม เรื่อง กำหนดผลประโยชน์บำเน็จเงินชราภาพของผู้ประกันตนตามมาตรา 33 และมาตรา 39</t>
  </si>
  <si>
    <t>2/24/2022</t>
  </si>
  <si>
    <t>https://ratchakitcha.soc.go.th/documents/62636.pdf</t>
  </si>
  <si>
    <t>ประกาศนี้กำหนดอัตราและวิธีการจ่ายเงินบำเน็จเงินชราภาพให้แก่ผู้ประกันตนที่เข้าเงื่อนไขตามกฎหมาย โดยให้นำเงินสมทบของผู้ประกันตนมาพิจารณาเป็นหลักในการคำนวณผลตอบแทน ทั้งนี้เพื่อความเหมาะสมกับสภาวะเศรษฐกิจและค่าใช้จ่ายในการดำรงชีพ รวมถึงเปิดโอกาสให้สำนักงานประกันสังคมสามารถปรับอัตราตามความจำเป็นโดยประกาศเพิ่มเติมได้</t>
  </si>
  <si>
    <t>ประกาศกระทรวงแรงงาน เรื่อง หลักเกณณ์และวิธีการเรียกหรือรับหลักประกันการทำงานหรือหลักประกันความเสียหายในการทำงานจากลูกจ้าง พ.ศ. 2541</t>
  </si>
  <si>
    <t>https://legal.labour.go.th/images/law/Protection2541/law10072551_1.pdf</t>
  </si>
  <si>
    <t>ประกาศฉบับนี้ออกตามพระราชบัญญัติคุ้มครองแรงงาน พ.ศ. 2541 เพื่อกำหนดให้สถานประกอบกิจการจัดให้มีการฝึกอบรมก่อนเริ่มงาน สำหรับงานที่อาจมีอันตรายหรือมีความเสี่ยง เช่น งานเกี่ยวกับไฟฟ้า เครื่องจักร หรือสารเคมี โดยเน้นให้ลูกจ้างได้รับความรู้ ความเข้าใจเกี่ยวกับความปลอดภัย วิธีปฏิบัติงาน การใช้อุปกรณ์ และมาตรการป้องกันอุบัติเหตุอย่างเหมาะสม นายจ้างต้องจัดฝึกอบรมด้วยวิธีการที่เข้าใจง่าย สื่อสารได้ผล และจัดทำบันทึกหลักฐานไว้เพื่อการตรวจสอบ ทั้งนี้เพื่อส่งเสริมสภาพการทำงานที่ปลอดภัย ลดอุบัติเหตุ และสร้างวัฒนธรรมความปลอดภัยในที่ทำงาน.</t>
  </si>
  <si>
    <t>ประกาศกรมสวัสดิการ</t>
  </si>
  <si>
    <t>ประกาศกรมสวัสดิการและคุ้มครองแรงงาน เรื่อง การรับสำเนาข้อบังคับเกี่ยวกับการทำงาน</t>
  </si>
  <si>
    <t>2/18/2016</t>
  </si>
  <si>
    <t>https://legal.labour.go.th/images/law/Protection2541/notifications_0006.pdf</t>
  </si>
  <si>
    <t>ประกาศกรมสวัสดิการและคุ้มครองแรงงานฉบับนี้แจ้งว่า ตามพระราชบัญญัติคุ้มครองแรงงาน พ.ศ. 2541 มาตรา 108 กำหนดให้นายจ้างที่มีลูกจ้างตั้งแต่สิบคนขึ้นไปต้องจัดให้มีข้อบังคับเกี่ยวกับการทำงานและส่งสำเนาให้อธิบดีหรือผู้ซึ่งอธิบดีมอบหมายภายใน 7 วันนับแต่วันประกาศใช้ข้อบังคับ รวมถึงกรณีแก้ไขเพิ่มเติมข้อบังคับก็ต้องประกาศและส่งสำเนาภายใน 7 วันเช่นกัน โดยนายจ้างสามารถส่งสำเนาข้อบังคับได้ด้วยตนเอง ทางไปรษณีย์ โทรสาร หรือทางสื่ออิเล็กทรอนิกส์ตามประกาศหลักเกณฑ์และวิธีการส่งสำเนาข้อบังคับเกี่ยวกับการทำงานทางสื่ออิเล็กทรอนิกส์ ลงวันที่ 18 กุมภาพันธ์ พ.ศ. 2559</t>
  </si>
  <si>
    <t>ประกาศกรมสวัสดิการและคุ้มครองแรงงาน เรื่อง หลักเกณฑ์และวิธีการส่งสำเนาข้อบังคับเกี่ยวกับการทำงานทางสื่ออิเล็กทรอนิกส์</t>
  </si>
  <si>
    <t>https://legal.labour.go.th/images/law/Protection2541/notifications_0007.pdf</t>
  </si>
  <si>
    <t>ประกาศกรมสวัสดิการและคุ้มครองแรงงานฉบับนี้กำหนดหลักเกณฑ์และวิธีการส่งสำเนาข้อบังคับเกี่ยวกับการทำงานทางสื่ออิเล็กทรอนิกส์ ตามพระราชบัญญัติคุ้มครองแรงงาน พ.ศ. 2541 มาตรา 108 และมาตรา 110 โดยนายจ้างสามารถลงทะเบียนเพื่อส่งสำเนาข้อบังคับการทำงานผ่านระบบอิเล็กทรอนิกส์ได้ที่เว็บไซต์กรมสวัสดิการและคุ้มครองแรงงาน (www.labour.go.th) ซึ่งนายจ้างต้องลงทะเบียนผู้ใช้งาน (User ID) และรหัสผ่าน (password) และปฏิบัติตามขั้นตอนที่กำหนด โดยเมื่อดำเนินการแล้วจะถือว่านายจ้างได้ปฏิบัติถูกต้องตามกฎหมาย ประกาศ ณ วันที่ 18 กุมภาพันธ์ พ.ศ. 2559</t>
  </si>
  <si>
    <t>ประกาศกรมสวัสดิการและคุ้มครองแรงงาน เรื่อง แบบแสดงสภาพการจ้างและสภาพการทำงานของสถานประกอบกิจการประจำปี</t>
  </si>
  <si>
    <t>11/17/2016</t>
  </si>
  <si>
    <t>https://legal.labour.go.th/images/law/Protection2541/S11-17112564.pdf</t>
  </si>
  <si>
    <t>ประกาศกรมสวัสดิการและคุ้มครองแรงงานฉบับนี้กำหนดให้มีการปรับปรุงแบบแสดงสภาพการจ้างและสภาพการทำงานของสถานประกอบกิจการประจำปี (แบบ คร.11) เพื่อให้สอดคล้องกับรูปแบบของการจ้างและการทำงานในปัจจุบัน โดยอาศัยอำนาจตามมาตรา 115/1 แห่งพระราชบัญญัติคุ้มครองแรงงาน พ.ศ. 2541 ซึ่งแก้ไขเพิ่มเติมโดยพระราชบัญญัติคุ้มครองแรงงาน (ฉบับที่ 2) พ.ศ. 2551 และให้ยกเลิกประกาศเดิมเรื่องเดียวกันลงวันที่ 22 ตุลาคม พ.ศ. 2555 โดยประกาศฉบับนี้มีผลบังคับใช้ตั้งแต่วันถัดจากวันประกาศในราชกิจจานุเบกษาเป็นต้นไป ประกาศ ณ วันที่ 17 พฤศจิกายน พ.ศ. 2565</t>
  </si>
  <si>
    <t>ประกาศกรมสวัสดิการและคุ้มครองแรงงาน เรื่อง หลักเกณฑ์และวิธีการในการเลือกตั้งคณะกรรมการสวัสดิการในสถานประกอบกิจการ</t>
  </si>
  <si>
    <t>https://ratchakitcha.soc.go.th/documents/1707439.pdf</t>
  </si>
  <si>
    <t>ประกาศฉบับนี้กำหนดหลักเกณฑ์และวิธีการเลือกตั้งคณะกรรมการสวัสดิการในสถานประกอบกิจการให้มีความเป็นระบบและเป็นธรรม โดยมีผลใช้บังคับตั้งแต่วันที่ 18 สิงหาคม 2548 เป็นต้นไป นายจ้างต้องจัดให้มีการเลือกตั้งคณะกรรมการสวัสดิการหากมีลูกจ้างครบ 50 คนขึ้นไป และให้มีคณะกรรมการดำเนินการเลือกตั้งที่มาจากการแต่งตั้งโดยนายจ้างร่วมกับผู้แทนลูกจ้าง ทั้งนี้เพื่อให้ลูกจ้างมีส่วนร่วมในการจัดสวัสดิการที่เหมาะสมภายในสถานประกอบกิจการ.</t>
  </si>
  <si>
    <t>ประกาศกรมสวัสดิการและคุ้มครองแรงงาน เรื่อง หลักเกณฑ์และวิธีการเลือกตั้งคณะกรรมการสวัสดิการในสถานประกอบกิจการโดยวิธีการทางอิเล็กทรอนิกส์</t>
  </si>
  <si>
    <t>https://legal.labour.go.th/images/law/Protection2541/T_0047.pdf</t>
  </si>
  <si>
    <t>ประกาศกรมสวัสดิการและคุ้มครองแรงงานฉบับนี้กำหนดหลักเกณฑ์และวิธีการเลือกตั้งคณะกรรมการสวัสดิการในสถานประกอบกิจการโดยวิธีการทางอิเล็กทรอนิกส์ เพื่อให้สอดคล้องกับเทคโนโลยีที่เปลี่ยนแปลงไปและเป็นทางเลือกแก่นายจ้างในการจัดให้มีคณะกรรมการสวัสดิการ โดยอาศัยอำนาจตามมาตรา 36 วรรคสอง แห่งพระราชบัญญัติคุ้มครองแรงงาน พ.ศ. 2541 กำหนดให้นายจ้างสามารถจัดการเลือกตั้งแต่งตั้งคณะกรรมการได้ด้วยตนเองหรือผ่านอิเล็กทรอนิกส์ และต้องแจ้งให้ลูกจ้างทราบล่วงหน้าไม่น้อยกว่า 7 วัน โดยมีข้อกำหนดเกี่ยวกับการลงทะเบียน วิธีการอุทธรณ์ การดำเนินการเลือกตั้ง และการยื่นคำร้องต่างๆ ตามประกาศนี้</t>
  </si>
  <si>
    <t>ประกาศกรมสวัสดิการและคุ้มครองแรงงาน เรื่อง กำหนดแบบแจ้งการจ้าง แบบบันทึกการเปลี่ยนแปลงสภาพการจ้างและแบบแจ้งการสิ้นสุดการจ้างลูกจ้างซึ่งเป็นเด็กอายุต่ำกว่าสิบแปดปี</t>
  </si>
  <si>
    <t>11/22/2015</t>
  </si>
  <si>
    <t>https://legal.labour.go.th/images/law/Protection2541/notifications_0005.pdf</t>
  </si>
  <si>
    <t xml:space="preserve">ประกาศฉบับนี้กำหนดให้สถานประกอบกิจการต้องใช้แบบฟอร์มมาตรฐานในการแจ้งการจ้าง การเปลี่ยนแปลงสภาพการจ้าง และการสิ้นสุดการจ้าง สำหรับลูกจ้างที่เป็นเด็กอายุต่ำกว่า 18 ปี เพื่อให้เป็นไปตามพระราชบัญญัติคุ้มครองแรงงาน พ.ศ. 2541 และเพื่อให้การคุ้มครองแรงงานเด็กมีประสิทธิภาพมากขึ้น โดยให้ใช้แบบ คร. 2, คร. 3 และ คร. 4 ตามลำดับ </t>
  </si>
  <si>
    <t>ประกาศกรมสวัสดิการและคุ้มครองแรงงาน เรื่อง หลักเกณฑ์ และวิธีการแจ้งการจ้างซึ่งเป็นเด็กอายุต่ำกว่าสิบแปดปี และการแจ้งสิ้นสุดการจ้างลูกจ้างซึ่งเป็นเด็กอายุต่ำกว่าสิบแปดปีทางอิเล็กทรอนิกส์</t>
  </si>
  <si>
    <t>7/18/2017</t>
  </si>
  <si>
    <t>https://legal.labour.go.th/images/law/Protection2541/notifications_0010.pdf</t>
  </si>
  <si>
    <t>ประกาศนี้กำหนดให้นายจ้างที่จ้างหรือเลิกจ้างแรงงานเด็กอายุต่ำกว่า 18 ปี ต้องแจ้งข้อมูลผ่านระบบอิเล็กทรอนิกส์ตามแบบที่กำหนดภายในระยะเวลาที่กำหนด โดยสามารถดำเนินการผ่านเว็บไซต์ของกรมสวัสดิการและคุ้มครองแรงงาน (https://eservice.labour.go.th/) เพื่อให้การดูแลและติดตามการทำงานของแรงงานเด็กเป็นไปอย่างมีประสิทธิภาพและสอดคล้องกับกฎหมายแรงงาน โดยการแจ้งข้อมูลจะครอบคลุมทั้งกรณีเริ่มจ้าง สิ้นสุดการจ้าง รวมถึงการเปลี่ยนแปลงที่เกี่ยวข้อง เพื่อให้หน่วยงานที่เกี่ยวข้องสามารถดำเนินมาตรการคุ้มครองแรงงานเด็กได้อย่างเหมาะสมและทันเวลา</t>
  </si>
  <si>
    <t>ประกาศกรมสวัสดิการและคุ้มครองแรงงาน เรื่อง หลักเกณฑ์ และวิธีการให้นายจ้างแจ้งหยุดกิจการชั่วคราวทางสื่ออิเล็กทรอนิกส์</t>
  </si>
  <si>
    <t>3/27/2020</t>
  </si>
  <si>
    <t>https://legal.labour.go.th/images/law/other/1/27032563.pdf</t>
  </si>
  <si>
    <t>ประกาศนี้ให้สิทธิ์นายจ้างที่หยุดกิจการชั่วคราวตามมาตรา 75 ของ พ.ร.บ.คุ้มครองแรงงาน พ.ศ. 2541 สามารถแจ้งเหตุผ่านช่องทางอิเล็กทรอนิกส์ เช่น อีเมล หรือเว็บไซต์ของกรมสวัสดิการฯ แทนการยื่นด้วยตนเอง เพื่อเพิ่มความสะดวก ลดภาระงาน และสนับสนุนการดำเนินงานในช่วงภาวะฉุกเฉินหรือสถานการณ์พิเศษ ให้เป็นไปตามนโยบายรัฐด้านการบริหารราชการแบบดิจิทัลอย่างมีประสิทธิภาพ</t>
  </si>
  <si>
    <t>ประกาศคณะกรรมการค่าจ้าง</t>
  </si>
  <si>
    <t>ประกาศคณะกรรมการค่าจ้าง เรื่อง อัตราค่าจ้างขั้นต่ำ (ฉบับที่ 13)</t>
  </si>
  <si>
    <t>12/27/2024</t>
  </si>
  <si>
    <t>https://ratchakitcha.soc.go.th/documents/55781.pdf</t>
  </si>
  <si>
    <t>ประกาศคณะกรรมการค่าจ้างฉบับนี้ออกตามความในพระราชบัญญัติคุ้มครองแรงงาน พ.ศ. 2541 โดยมีสาระสำคัญคือ กำหนดอัตราค่าจ้างขั้นต่ำเป็นรายวันแยกตามจังหวัดต่างๆ ทั่วประเทศ ตั้งแต่ 465 - 368 บาท โดยจังหวัดที่มีค่าจ้างขั้นต่ำสูงสุด 465 บาท ได้แก่ กรุงเทพมหานคร นนทบุรี ปทุมธานี สมุทรปราการ และสมุทรสาคร ส่วนจังหวัดที่มีค่าจ้างขั้นต่ำต่ำสุด 368 บาท ได้แก่ จังหวัดชายแดนภาคใต้ เช่น นราธิวาส ปัตตานี และยะลา รวมถึงกำหนดให้นายจ้างจ่ายค่าจ้างให้ลูกจ้างไม่ต่ำกว่าอัตราค่าจ้างขั้นต่ำที่กำหนดนี้ ทั้งนี้ให้ประกาศฉบับนี้มีผลบังคับใช้ตั้งแต่วันที่ 1 มกราคม 2568 เป็นต้นไป</t>
  </si>
  <si>
    <t>สื่อสารผ่าน e-smart/ idoc / สัญญาว่าจ้างแรงงาน / แบบเปลี่ยนแปลงสถานะภาพ</t>
  </si>
  <si>
    <t>ประกาศคณะกรรมการส่งเสริมการพัฒนาฝีมือแรงงาน เรื่อง มาตรฐานฝีมือแรงงานแห่งชาติ สาขาอาชีพช่างไฟฟ้า อิเล็กทรอนิกส์และคอมพิวเตอร์ สาขาช่างไฟฟ้าภายในอาคาร</t>
  </si>
  <si>
    <t>https://idev.dsd.go.th/~law/qr1/01%20%A1%AE%CB%C1%D2%C2%B7%D5%E8%E0%A1%D5%E8%C2%C7%A2%E9%CD%A7%A1%D1%BA%A1%D2%C3%BE%D1%B2%B9%D2%BD%D5%C1%D7%CD%E1%C3%A7%A7%D2%B9/%BB%C3%D0%A1%D2%C8/%BB%C3%D0%A1%D2%C8%A4%B3%D0%A1%C3%C3%C1%A1%D2%C3%CA%E8%A7%E0%CA%C3%D4%C1%20%C1%D2%B5%C3%B0%D2%B9%CA%D2%A2%D2%AA%E8%D2%A7%E4%BF%BF%E9%D2%C0%D2%C2%E3%B9%CD%D2%A4%D2%C3.pdf</t>
  </si>
  <si>
    <t>ประกาศฉบับนี้กำหนดมาตรฐานฝีมือแรงงานแห่งชาติในสาขาช่างไฟฟ้าภายในอาคาร เพื่อใช้เป็นแนวทางในการทดสอบความรู้ ทักษะ และสมรรถนะของแรงงานให้มีมาตรฐานสอดคล้องกับความต้องการของสถานประกอบกิจการ โดยครอบคลุมเนื้อหาที่เกี่ยวกับระบบไฟฟ้าในอาคาร การติดตั้งระบบไฟฟ้าอย่างปลอดภัย การใช้เครื่องมือและการอ่านแบบทางไฟฟ้า รวมถึงการปฏิบัติงานตามกฎกระทรวงและมาตรฐานความปลอดภัย โดยผู้ผ่านการประเมินตามมาตรฐานนี้จะได้รับการรับรองความรู้ความสามารถในระดับชาติ ซึ่งสามารถนำไปใช้ในการประกอบวิชาชีพหรือยื่นขอรับสิทธิประโยชน์ตามกฎหมายได้</t>
  </si>
  <si>
    <t>สื่อสารผ่าน e-smart/ idoc / ใบประกาศรับรองผ่านการทดสอบมาตรฐานแรงงาน</t>
  </si>
  <si>
    <t>ประกาศคณะกรรมการส่งเสริมการพัฒนาฝีมือแรงงาน เรื่อง วิธีการทดสอบมาตรฐานฝีมือแรงงาน และการออกหนังสือรับรองว่าเป็นผู้ผ่านการทดสอบมาตรฐานฝีมือแรงงานแห่งชาติ สาขาอาชีพช่างไฟฟ้า อิเล็กทรอนิกส์และคอมพิเตอร์สาขาไฟฟ้าภายในอาคาร ระดับ 1</t>
  </si>
  <si>
    <t>https://idev.dsd.go.th/~law/qr1/01%20%A1%AE%CB%C1%D2%C2%B7%D5%E8%E0%A1%D5%E8%C2%C7%A2%E9%CD%A7%A1%D1%BA%A1%D2%C3%BE%D1%B2%B9%D2%BD%D5%C1%D7%CD%E1%C3%A7%A7%D2%B9/%BB%C3%D0%A1%D2%C8/%BB%C3%D0%A1%D2%C8%A4%B3%D0%A1%C3%C3%C1%A1%D2%C3%CA%E8%A7%E0%CA%C3%D4%C1%20%C7%D4%B8%D5%B7%B4%CA%CD%BA%C1%B0-%AA%E8%D2%A7%E4%BF%BF%E9%D2%C0%D2%C2%E3%B9%CD%D2%A4%D2%C3-%C3%D0%B4%D1%BA-1.pdf</t>
  </si>
  <si>
    <t>ประกาศฉบับนี้กำหนดเนื้อหาวิชาความรู้และทักษะที่จำเป็นสำหรับผู้เข้าทดสอบมาตรฐานฝีมือแรงงานระดับชาติในสายงานช่างไฟฟ้าภายในอาคาร ครอบคลุมทั้งภาคทฤษฎีและภาคปฏิบัติ โดยเนื้อหาทฤษฎีเน้นเรื่องความรู้ความสามารถเกี่ยวกับหลักการเดินสายไฟ การติดตั้งอุปกรณ์ไฟฟ้า การควบคุมระบบ และความปลอดภัย ส่วนเกณฑ์การตัดสินใช้ระบบคะแนนจากภาคทฤษฎีและภาคปฏิบัติรวมกัน เพื่อให้แน่ใจว่าผู้ผ่านการประเมินมีความสามารถครบถ้วนตามเกณฑ์มาตรฐานที่กำหนด และสามารถนำผลการประเมินไปใช้ในการประกอบอาชีพหรือขอรับรองความสามารถอย่างเป็นทางการ</t>
  </si>
  <si>
    <t>ประกาศคณะกรรมการส่งเสริมการพัฒนาฝีมือแรงงาน เรื่อง กำหนดเกณฑ์ระดับคะแนนความรู้ความสามารถ และกำหนดอัตราค่าธรรมเนียมการประเมินความรู้ความสามารถของผู้ขอรับรองความรู้ความสามารถ สาขาอาชีพช่างไฟฟ้า อิเล็กทรอนิกส์และคอมพิวเตอร์ สาขาช่างไฟฟ้าภายในอาคาร</t>
  </si>
  <si>
    <t>1/14/2021</t>
  </si>
  <si>
    <t>https://idev.dsd.go.th/~law/qr1/01%20%A1%AE%CB%C1%D2%C2%B7%D5%E8%E0%A1%D5%E8%C2%C7%A2%E9%CD%A7%A1%D1%BA%A1%D2%C3%BE%D1%B2%B9%D2%BD%D5%C1%D7%CD%E1%C3%A7%A7%D2%B9/%BB%C3%D0%A1%D2%C8/%BB%C3%D0%A1%D2%C8%A4%B3%D0%A1%C3%C3%C1%A1%D2%C3%CA%E8%A7%E0%CA%C3%D4%C1%A1%D2%C3%BE%D1%B2%B9%D2%BD%D5%C1%D7%CD%E1%C3%A7%A7%D2%B9%20%E0%C3%D7%E8%CD%A7%A8%D3%E1%B9%A1%E1%C5%D0%A1%D3%CB%B9%B4%C3%D0%B4%D1%BA%A4%C7%D2%C1%C3%D9%E9%A4%C7%D2%C1%CA%D2%C1%D2%C3%B6%20%CA%D2%A2%D2%AA%E8%D2%A7%E4%BF%BF%E9%D2%C0%D2%C2%E3%B9%CD%D2%A4%D2%C3.PDF</t>
  </si>
  <si>
    <t>ประกาศฉบับนี้กำหนดเกณฑ์การประเมินความรู้ความสามารถของผู้ขอรับรองมาตรฐานฝีมือแรงงานแห่งชาติในสาขาช่างไฟฟ้าภายในอาคาร โดยผู้ผ่านการประเมินต้องมีคะแนนความรู้ความสามารถรวมไม่ต่ำกว่าร้อยละ 75 แบ่งเป็นภาคความรู้ (ร้อยละ 60) และภาคความสามารถ (ร้อยละ 80) นอกจากนี้ยังระบุอัตราค่าธรรมเนียมในการขอรับรอง โดยเก็บค่าธรรมเนียม 100 บาทสำหรับการสมัครสอบ และ 200 บาทสำหรับการออกหนังสือรับรอง ทั้งนี้เพื่อให้การรับรองเป็นไปอย่างโปร่งใส สอดคล้องกับมาตรฐานกลาง และสร้างแรงจูงใจให้แรงงานมีคุณภาพและได้รับการยอมรับในวิชาชีพ</t>
  </si>
  <si>
    <t>พระราชบัญญัติคุ้มครองแรงงาน (ฉบับที่ ๙) พ.ศ. ๒๕๖๘</t>
  </si>
  <si>
    <t>https://ratchakitcha.soc.go.th/documents/89818.pdf</t>
  </si>
  <si>
    <t>พระราชบัญญัติคุ้มครองแรงงาน (ฉบับที่ ๙) พ.ศ. ๒๕๖๘ มีเจตนารมณ์เพื่อปรับปรุงบทบัญญัติให้สอดคล้องกับสภาพเศรษฐกิจและสังคมที่เปลี่ยนแปลงไป โดยมุ่งคุ้มครองแรงงานให้ได้รับสิทธิประโยชน์ที่เป็นธรรมและเหมาะสมกับสภาวะการทำงานในปัจจุบัน ทั้งในภาครัฐ รัฐวิสาหกิจ องค์กรทางศาสนา และภาคเอกชน เน้นส่งเสริมคุณภาพชีวิตและสมดุลระหว่างการทำงานกับชีวิตส่วนตัวของลูกจ้าง เช่น การเพิ่มสิทธิวันหยุด การลาป่วย การลาเพื่อกิจส่วนตัว และการลาคลอด รวมถึงให้มีการจัดทำรูปแบบการแสดงสภาพการจ้างที่โปร่งใสและตรวจสอบได้ เพื่อให้ลูกจ้างได้รับความมั่นคง ความปลอดภัย และการปฏิบัติอย่างเป็นธรรมตามหลักคุ้มครองแรงงานยุคใหม่</t>
  </si>
  <si>
    <t>ข้อบังคับการทำงาน / คู่มือการจัดการมาตรฐานแรงงานไทย / คู่มือปฏิบัติงาน</t>
  </si>
  <si>
    <t>ประกาศกรมสวัสดิการและคุ้มครองแรงงาน</t>
  </si>
  <si>
    <t>ประกาศกรมสวัสดิการและคุ้มครองแรงงาน เรื่อง หลักเกณฑ์ และวิธีการยื่นแบบแสดงภาพการจ้างและสภาพการทำงานต่อพนักงานตรวจแรงงานตามมาตรา 115/1 แห่งพระราชบัญญัติคุ้มครองแรงงาน พ.ศ. 2541 แก้ไขเพิ่มเติมโดยพระราชบัญญัติคุ้มครองแรงงาน (ฉบับที่ 9) พ.ศ. 2568</t>
  </si>
  <si>
    <t>12/26/2025</t>
  </si>
  <si>
    <t>https://ratchakitcha.soc.go.th/documents/99330.pdf</t>
  </si>
  <si>
    <t>ประกาศกรมสวัสดิการและคุ้มครองแรงงานฉบับนี้ออกตามอำนาจแห่งพระราชบัญญัติคุ้มครองแรงงาน เพื่อกำหนดหลักเกณฑ์และวิธีการยื่นแบบแสดงสภาพการจ้างและสภาพการทำงานของนายจ้างต่อพนักงานตรวจแรงงาน โดยกำหนดให้นายจ้างต้องจัดทำและยื่นแบบดังกล่าวตามแบบและระยะเวลาที่อธิบดีกำหนด ทั้งนี้ให้ดำเนินการยื่นผ่านระบบบริการอิเล็กทรอนิกส์ (e-Service) ของกรมสวัสดิการและคุ้มครองแรงงานเป็นหลัก และในกรณีที่ไม่สามารถยื่นผ่านระบบได้ ให้ยื่นต่อสำนักงานสวัสดิการและคุ้มครองแรงงานกรุงเทพมหานครพื้นที่ หรือสำนักงานสวัสดิการและคุ้มครองแรงงานจังหวัด โดยมีวัตถุประสงค์เพื่อให้การรายงานข้อมูลด้านการจ้างงานเป็นไปอย่างเป็นระบบ สะดวก โปร่งใส และสนับสนุนการบังคับใช้กฎหมายคุ้มครองแรงงานอย่างมีประสิทธิภาพ</t>
  </si>
  <si>
    <t>แบบแสดงสภาพการจ้างและสภาพการทำงาน / e-service ( Labour.go.th )</t>
  </si>
  <si>
    <t>12/24/2025</t>
  </si>
  <si>
    <t>https://ratchakitcha.soc.go.th/documents/99336.pdf</t>
  </si>
  <si>
    <t>ประกาศกรมสวัสดิการและคุ้มครองแรงงานฉบับนี้ออกตามอำนาจแห่งพระราชบัญญัติคุ้มครองแรงงาน โดยมีวัตถุประสงค์เพื่อปรับปรุงประกาศเดิมว่าด้วยแบบแสดงสภาพการจ้างและสภาพการทำงานของสถานประกอบกิจการประจำปี ให้สอดคล้องกับรูปแบบการจ้างงานและลักษณะการทำงานของสถานประกอบกิจการในปัจจุบัน ทั้งนี้ได้กำหนดให้ใช้แบบแสดงสภาพการจ้างและสภาพการทำงานฉบับใหม่แทนแบบเดิม ตั้งแต่วันที่ 17 พฤศจิกายน พ.ศ. 2564 เป็นต้นไป เพื่อให้การรายงานข้อมูลด้านแรงงานมีความถูกต้อง ครบถ้วน เป็นมาตรฐานเดียวกัน และเอื้อต่อการตรวจแรงงานและการคุ้มครองสิทธิแรงงานอย่างมีประสิทธิภาพ</t>
  </si>
  <si>
    <t>แบบแสดงสภาพการจ้างและสภาพการทำงานของสถานประกอบกิจการประจำปี / e-service ( labour.go.th )</t>
  </si>
  <si>
    <t>กฎกระทรวงกำหนดค่าจ้างขั้นต่ำและขั้นสูงที่ใช้เป็นฐานในการคำนวณเงินสมทบของผู้ประกันตนตามมาตรา 33 พ.ศ. 2568</t>
  </si>
  <si>
    <t>https://ratchakitcha.soc.go.th/documents/98728.pdf</t>
  </si>
  <si>
    <t>กฎกระทรวงฉบับนี้ออกตามอำนาจแห่งพระราชบัญญัติประกันสังคม เพื่อกำหนดและปรับปรุงค่าจ้างขั้นต่ำและค่าจ้างขั้นสูงที่ใช้เป็นฐานในการคำนวณเงินสมทบเข้ากองทุนประกันสังคมของผู้ประกันตนตามมาตรา 33 โดยมีเหตุผลสำคัญจากความจำเป็นในการปรับฐานการคำนวณเงินสมทบให้เหมาะสมและสอดคล้องกับสภาพเศรษฐกิจในปัจจุบัน อันจะทำให้ผู้ประกันตนได้รับประโยชน์ทดแทนเพิ่มขึ้นและมีความคุ้มครองทางสังคมที่เหมาะสมยิ่งขึ้น จึงจำเป็นต้องออกกฎกระทรวงฉบับนี้</t>
  </si>
  <si>
    <t>แบบทะเบียนรายได้ / หลักฐานการจ่ายค่าจ้าง</t>
  </si>
  <si>
    <t>ประกาศกระทรวง</t>
  </si>
  <si>
    <t>ประกาศกระทรวงแรงงาน เรื่อง ขยายกำหนดเวลาการยื่นแบบรายการแสดงการส่งเงินสมทบและการนำส่งเงินสมทบของนายจ้างและผู้ประกันตนในท้องที่ที่ประสบภัยพิบัติ พ.ศ. 2568</t>
  </si>
  <si>
    <t>12/15/2025</t>
  </si>
  <si>
    <t>https://ratchakitcha.soc.go.th/documents/98741.pdf</t>
  </si>
  <si>
    <t>ประกาศกระทรวงแรงงานฉบับนี้มีวัตถุประสงค์เพื่อช่วยเหลือและบรรเทาความเดือดร้อนแก่นายจ้างและผู้ประกันตนที่อยู่ในท้องที่ประสบภัยพิบัติจากอุทกภัย ซึ่งกรมป้องกันและบรรเทาสาธารณภัย กระทรวงมหาดไทย ได้ประกาศเขตพื้นที่ประสบสาธารณภัยตั้งแต่ช่วงเดือนพฤศจิกายน พ.ศ. 2568 อันเป็นเหตุสุดวิสัยที่ส่งผลกระทบต่อการยื่นแบบรายการแสดงการส่งเงินสมทบและการนำส่งเงินสมทบตามกฎหมายประกันสังคม จึงเห็นสมควรขยายกำหนดเวลาตามมาตรา 39 วรรคสาม และมาตรา 47 วรรคสอง แห่งพระราชบัญญัติประกันสังคม พ.ศ. 2533 และที่แก้ไขเพิ่มเติม เพื่อให้สอดคล้องกับสภาพข้อเท็จจริงและลดภาระของผู้ที่ได้รับผลกระทบ</t>
  </si>
  <si>
    <t>Under Review</t>
  </si>
  <si>
    <t>สื่อสารกับบุคลากรที่เกี่ยวข้อง / ทะเบียนรายได้ / หลักฐานการจ่ายค่าจ้าง</t>
  </si>
  <si>
    <t>ระเบียบสำนักงานประกันสังคม</t>
  </si>
  <si>
    <t>ระเบียบสำนักงานประกันสังคม ว่าด้วยการขอรับประโยชน์ทดแทน  พ.ศ. 2568</t>
  </si>
  <si>
    <t>12/19/2025</t>
  </si>
  <si>
    <t>https://ratchakitcha.soc.go.th/documents/97803.pdf</t>
  </si>
  <si>
    <t>ระเบียบสำนักงานประกันสังคมฉบับนี้จัดทำขึ้นเพื่อปรับปรุงระเบียบว่าด้วยการขอรับประโยชน์ทดแทนให้สอดคล้องกับสภาพการณ์ในปัจจุบัน โดยมุ่งเพิ่มความสะดวกและเข้าถึงสิทธิของผู้ประกันตนและผู้มีสิทธิให้มากยิ่งขึ้น ผ่านการเพิ่มช่องทางการยื่นคำขอรับประโยชน์ทดแทนด้วยวิธีการทางอิเล็กทรอนิกส์ อันเป็นการลดขั้นตอนและภาระด้านเอกสาร ส่งเสริมประสิทธิภาพการให้บริการของสำนักงานประกันสังคม และสนับสนุนการบริหารจัดการด้านประกันสังคมให้มีความทันสมัยและเหมาะสมกับบริบททางสังคมและเทคโนโลยีในปัจจุบัน</t>
  </si>
  <si>
    <t>สื่อสารบุคลากรเกี่ยวข้อง / ทะเบียนรายได้ / หลักฐานการจ่ายเงินค่าจ้าง</t>
  </si>
  <si>
    <t>ประกาศกระทรวงแรงงาน เรื่อง การอนุญาตให้คนต่างด้าวทำงานในราชอาณาจักรเป็นกรณีพิเศษ สำหรับคนต่างด้าวสัญชาติลาว เมียนมา และเวียดนาม ตามมติคณะรัฐมนตรีเมื่อวันที่ 11 พฤศจิกายน 2568</t>
  </si>
  <si>
    <t>https://ratchakitcha.soc.go.th/documents/98018.pdf</t>
  </si>
  <si>
    <t>ประกาศกระทรวงแรงงานฉบับนี้มีวัตถุประสงค์เพื่อแก้ไขปัญหาที่เกิดจากสถานการณ์ความไม่สงบและภาวะเศรษฐกิจของสาธารณรัฐแห่งสหภาพเมียนมา ซึ่งส่งผลให้คนต่างด้าวจำนวนมาก โดยเฉพาะสัญชาติลาว เมียนมา และเวียดนาม ลักลอบเข้ามาอยู่และทำงานในราชอาณาจักร หรือไม่สามารถเดินทางกลับประเทศต้นทางได้ รวมถึงกรณีที่เคยได้รับอนุญาตให้ทำงานอย่างถูกต้องแต่ภายหลังกลายเป็นผู้มีสถานะไม่ถูกต้องตามกฎหมาย เพื่อป้องกันและบรรเทาปัญหาการขาดแคลนแรงงาน อันกระทบต่อความมั่นคง เสถียรภาพทางเศรษฐกิจ และการพัฒนาเศรษฐกิจและสังคมของประเทศ จึงกำหนดมาตรการผ่อนผันเป็นกรณีพิเศษ ให้คนต่างด้าวกลุ่มดังกล่าวที่ประสงค์จะทำงานอย่างถูกต้อง สามารถอยู่และทำงานในราชอาณาจักรได้ภายใต้เงื่อนไขที่ทางราชการกำหนด</t>
  </si>
  <si>
    <t>ระเบียบการปฏิบัติงาน / วิธีการปฏิบัติงานว่าด้วยการจ้างแรงงานต่างด้าว / บันทึก</t>
  </si>
  <si>
    <t>ประกาศกระทรวงมหาดไทย เรื่อง การอนุญาตให้คนต่างด้าวอยู่ในราชอาณาจักรเป็นกรณีพิเศษ สำหรับคนต่างด้าวสัญชาติลาว เมียนมา และเวียดนาม ตามมติคณะรัฐมนตรีเมื่อวันที่ 11 พฤศจิกายน 2568</t>
  </si>
  <si>
    <t>https://ratchakitcha.soc.go.th/documents/98684.pdf</t>
  </si>
  <si>
    <t>ประกาศกระทรวงแรงงานฉบับนี้ออกตามมติคณะรัฐมนตรี โดยเป็นการเพิ่มเติมและขยายผลจากประกาศเดิม เพื่ออนุญาตให้คนต่างด้าวสัญชาติกัมพูชา ลาว เมียนมา และเวียดนาม ซึ่งได้รับอนุญาตให้ทำงานในราชอาณาจักรถึงวันที่ 13 กุมภาพันธ์ 2465 สามารถอยู่และทำงานต่อไปได้เป็นการเฉพาะ โดยกำหนดให้ต้องดำเนินการยื่นคำขออนุญาตทำงานแทนคนต่างด้าว และจัดให้มีหลักประกันเพื่อรองรับการส่งตัวคนต่างด้าวกลับประเทศต้นทางในลักษณะเดียวกับการดำเนินการตามบันทึกความเข้าใจว่าด้วยความร่วมมือด้านแรงงาน ทั้งนี้เพื่อบรรเทาภาระค่าใช้จ่ายแก่ภาครัฐและนายจ้าง ควบคู่กับการคุ้มครองสิทธิแรงงานต่างด้าว และสนับสนุนให้ระบบเศรษฐกิจของประเทศสามารถขับเคลื่อนได้อย่างต่อเนื่องและมีเสถียรภาพ</t>
  </si>
  <si>
    <t xml:space="preserve">ประกาศกระทรวงแรงงาน เรื่อง การอนุญาตให้คนต่างด้าวทำงานในราชอาณาจักรเป็นการเฉพาะสำหรับคนต่างด้าวสัญชาติกัมพูชา ลาว เมียนมา และเวียดนาม ซึ่งได้รับอนุญาตให้ทำงานถึงวันที่ 13 กุมภาพันธ์ 2568 ตามมติคณะรัฐมนตรีเมื่อวันที่ 24 กันยายน 2565 (ฉบับที่ 4)
</t>
  </si>
  <si>
    <t>https://ratchakitcha.soc.go.th/documents/98685.pdf</t>
  </si>
  <si>
    <t>ประกาศกระทรวงแรงงานฉบับนี้เป็นการเพิ่มเติมจากประกาศเดิมตามมติคณะรัฐมนตรี เพื่อผ่อนผันให้คนต่างด้าวสัญชาติเมียนมาที่ได้รับอนุญาตให้ทำงานถึงวันที่ 13 กุมภาพันธ์ 2565 และนายจ้างได้ยื่นบัญชีรายชื่อความต้องการจ้างแรงงานต่างด้าวแล้ว แต่ไม่สามารถดำเนินการตามแนวทางที่กำหนดได้ สามารถทำงานต่อไปได้ถึงวันที่ 13 กุมภาพันธ์ 2570 โดยกำหนดให้นายจ้างต้องยื่นคำขออนุญาตทำงานแทนคนต่างด้าวและจัดให้มีหลักประกันเพื่อรองรับการส่งตัวกลับประเทศต้นทาง ทั้งนี้มีการปรับปรุงแนวทางการวางหลักประกันให้เหมาะสม เพื่อลดภาระค่าใช้จ่ายของนายจ้างและสถานประกอบการ ควบคู่กับการคุ้มครองแรงงานต่างด้าว และสนับสนุนให้ระบบเศรษฐกิจของประเทศสามารถขับเคลื่อนได้อย่างต่อเนื่องและมีเสถียรภาพ</t>
  </si>
  <si>
    <t>ประกาศกระทรวงแรงงาน เรื่อง  การอนุญาตให้คนต่างด้าวทำงานในราชอาณาจักรเป็นกรณีพิเศษ สำหรับคนต่างด้าวสัญชาติเมียนมาตามมติคณะรัฐมนตรี เมื่อวันที่ 8 กรกฎาคม 2568 (ฉบับที่ 2)</t>
  </si>
  <si>
    <t>กฎหมายความปลอดภัย อาชีวอนามัย และสภาพแวดล้อมในการทำงาน</t>
  </si>
  <si>
    <t>พระราชบัญญัติความปลอดภัย อาชีวอนามัย และสภาพแวดล้อมในการทำงาน พ.ศ. 2554</t>
  </si>
  <si>
    <t>https://legal.labour.go.th/images/law/Safety2554/safety54.pdf</t>
  </si>
  <si>
    <t>เหตุผลในการตรากฎหมายฉบับนี้คือ ในทางปฏิบัติมีการนำเทคโนโลยี เครื่องมือ เครื่องจักร อุปกรณ์ สารเคมี และสารเคมีอันตรายมาใช้ในกระบวนการผลิต การก่อสร้าง และบริการมากขึ้น แต่การพัฒนาความรู้ความเข้าใจด้านความปลอดภัยยังไม่เพียงพอ ส่งผลให้เกิดอันตรายจากการทำงาน บาดเจ็บ พิการ ทุพพลภาพ เสียชีวิต และโรคจากการทำงานเพิ่มขึ้น อีกทั้งพระราชบัญญัติคุ้มครองแรงงาน พ.ศ. 2541 มีขอบเขตจำกัดและไม่เพียงพอต่อการกำหนดกลไกและมาตรการบริหารงานความปลอดภัยอย่างมีประสิทธิภาพ จึงจำเป็นต้องมีกฎหมายเฉพาะด้านนี้โดยตรง
พระราชบัญญัติฉบับนี้เป็น กฎหมายแม่บทเฉพาะด้านความปลอดภัย อาชีวอนามัย และสภาพแวดล้อมในการทำงาน แยกออกจากกฎหมายคุ้มครองแรงงานทั่วไป โดยกำหนดกลไกการบริหาร การควบคุม กำกับดูแล การบังคับใช้ การอุทธรณ์ กองทุน และบทกำหนดโทษไว้อย่างเป็นระบบ</t>
  </si>
  <si>
    <t>1) นำกฎหมายฉบับนี้และกฎหมายลำดับรองที่เกี่ยวข้องเข้าไว้ใน ทะเบียนกฎหมายและข้อกำหนด ขององค์กร
2) จัดทำ/ทบทวน นโยบายความปลอดภัย อาชีวอนามัย และสภาพแวดล้อมในการทำงาน ให้สอดคล้องกับหน้าที่ตามกฎหมาย
3) จัดให้มี เจ้าหน้าที่ความปลอดภัย, บุคลากร, คณะกรรมการความปลอดภัย หรือโครงสร้างที่เกี่ยวข้อง ตามประเภทกิจการและขนาดกิจการ
4) จัดทำ hazard identification, risk assessment, impact study, action plan, control plan และหลักฐานประกอบให้ครบถ้วน
5) จัด การอบรมความปลอดภัย ให้ผู้บริหาร หัวหน้างาน และลูกจ้างทุกคน รวมถึงก่อนเริ่มงาน/เปลี่ยนงาน/เปลี่ยนเครื่องจักรตามที่กฎหมายกำหนด
6) ควบคุม PPE, ป้ายเตือน, คู่มือปฏิบัติงาน, การสื่อสารอันตราย, การรายงานอุบัติภัย และระบบสอบสวนอุบัติเหตุให้ใช้งานได้จริง
7) ใช้กฎหมายนี้เป็นเกณฑ์ในการ ตรวจติดตามภายใน, ประเมินความสอดคล้องตามกฎหมาย, contractor control, corrective action, management review ของระบบ มรท.8001</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</si>
  <si>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และสภาพแวดล้อมในการทำงานเกี่ยวกับการป้องกันและระงับอัคคีภัย พ.ศ. 2555</t>
  </si>
  <si>
    <t>12/17/2013</t>
  </si>
  <si>
    <t>https://legal.labour.go.th/images/law/Safety2554/2/s_001.pdf</t>
  </si>
  <si>
    <t xml:space="preserve">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ให้อำนาจรัฐมนตรีว่าการกระทรวงแรงงานออกกฎกระทรวงกำหนดมาตรฐานให้นายจ้างบริหาร จัดการ และดำเนินการด้านความปลอดภัยฯ และเห็นว่าการป้องกันและระงับอัคคีภัยที่มีมาตรฐานเป็นมาตรการสำคัญที่ทำให้ลูกจ้างได้รับความปลอดภัยในการทำงาน จึงจำเป็นต้องออกกฎกระทรวงนี้
กฎกระทรวงฉบับนี้เป็นกฎหมายลำดับรองภายใต้ พ.ร.บ.ความปลอดภัยฯ 2554 ที่กำหนดมาตรฐานเฉพาะเรื่อง “การป้องกันและระงับอัคคีภัย” สำหรับสถานประกอบกิจการ โดยครอบคลุมตั้งแต่นิยามระดับความเสี่ยงอัคคีภัย ระบบป้องกันและระงับอัคคีภัย แผนป้องกันอัคคีภัย ทางหนีไฟ ระบบแจ้งเหตุเพลิงไหม้ ระบบน้ำดับเพลิง เครื่องดับเพลิง การจัดการวัตถุไวไฟ/วัตถุระเบิด การกำจัดของเสียที่ติดไฟได้ง่าย การป้องกันฟ้าผ่า การอบรม และการฝึกซ้อมดับเพลิง/อพยพหนีไฟ
</t>
  </si>
  <si>
    <t>1) บรรจุกฎหมายฉบับนี้ไว้ใน ทะเบียนกฎหมายและข้อกำหนด ของระบบ มรท.8001
2) จัดทำ/ทบทวน แผนป้องกันและระงับอัคคีภัย 6 แผน ให้ครบ และควบคุมเอกสารให้เป็นปัจจุบัน
3) ตรวจความพร้อมของ ทางหนีไฟ ประตูหนีไฟ ป้ายหนีไฟ ระบบแจ้งเหตุเพลิงไหม้ แสงสว่างฉุกเฉิน น้ำสำรองดับเพลิง และเครื่องดับเพลิง ให้ตรงตามความเสี่ยงของสถานประกอบกิจการ
4) จัดทำระบบ inspection / preventive maintenance / record keeping สำหรับอุปกรณ์ดับเพลิงและระบบที่เกี่ยวข้อง
5) จัด ฝึกอบรมดับเพลิงขั้นต้น และ ฝึกซ้อมดับเพลิง-อพยพหนีไฟประจำปี พร้อมหลักฐานแผนและรายงานผล
6) ใช้กฎหมายฉบับนี้เป็นเกณฑ์ในการ internal audit, legal compliance evaluation, corrective action, emergency preparedness review และ contractor control</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</si>
  <si>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และสภาพแวดล้อมในการทำงานเกี่ยวกับการป้องกันและระงับอัคคีภัย (ฉบับที่ 2) พ.ศ. 2561</t>
  </si>
  <si>
    <t>8/29/2021</t>
  </si>
  <si>
    <t>https://legal.labour.go.th/images/law/Safety2554/2/Law02_2020.pdf</t>
  </si>
  <si>
    <t>เหตุผลในการออกกฎกระทรวงฉบับนี้ คือ กฎกระทรวงฉบับเดิม พ.ศ. ๒๕๕๕ ในส่วนที่เกี่ยวกับ ขนาดตัวอักษรของป้ายบอกทางหนีไฟ และ มาตรการป้องกันอันตรายจากถ่านหิน ผงแร่ที่ลุกไหม้ได้ง่าย เซลลูลอยด์ หรือของแข็งที่ติดไฟได้ง่าย ยังไม่เหมาะสม จึงสมควรแก้ไขปรับปรุง เพื่อให้นายจ้างสามารถบริหาร จัดการ และดำเนินการด้านความปลอดภัยเกี่ยวกับการป้องกันและระงับอัคคีภัยได้อย่างมีประสิทธิภาพยิ่งขึ้น
กฎกระทรวงฉบับนี้เป็น กฎหมายแก้ไขเพิ่มเติม กฎกระทรวงว่าด้วยการป้องกันและระงับอัคคีภัย พ.ศ. ๒๕๕๕ โดยแก้ไขเฉพาะบางข้อ ไม่ได้ยกเลิกทั้งฉบับ แต่ปรับปรุงรายละเอียดบางประเด็นให้ชัดและเข้มขึ้น</t>
  </si>
  <si>
    <t>1) ทบทวน ป้ายบอกทางหนีไฟ ให้มีขนาดตัวอักษรไม่น้อยกว่า 10 เซนติเมตร และมองเห็นได้ชัดเจน
2) หากมีการเก็บ ถ่านหิน ผงแร่ เซลลูลอยด์ หรือของแข็งที่ติดไฟง่าย ต้องทบทวนวิธีเก็บ การป้องกันความร้อน การระบายอากาศ และความเสี่ยงจาก dust explosion ให้สอดคล้องกับกฎหมายฉบับนี้
3) จัดทำ/ปรับปรุง วิธีปฏิบัติงาน, แผนฉุกเฉิน, แบบตรวจสอบ, บันทึกการตรวจวัดอุณหภูมิ, และบันทึกการตรวจติดตาม ให้ครบถ้วน
4) นำประเด็นนี้เข้าไปอยู่ใน internal audit, legal compliance evaluation, hazard identification/risk assessment และการควบคุมเอกสารในระบบ มรท.8001
5) อบรมผู้เกี่ยวข้อง เช่น HR, Safety, Maintenance, Warehouse, Utility หรือผู้ควบคุมคลังวัสดุ ให้เข้าใจข้อกำหนดใหม่และวิธีควบคุมความเสี่ยงอย่างถูกต้อง</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</si>
  <si>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และสภาพแวดล้อมในการทำงานเกี่ยวกับสารเคมีอันตราย พ.ศ. 2556</t>
  </si>
  <si>
    <t>11/29/2013</t>
  </si>
  <si>
    <t>https://legal.labour.go.th/images/law/Safety2554/2/s_002.pdf</t>
  </si>
  <si>
    <t>ออกกฎกระทรวงนี้เพราะสถานประกอบกิจการมีการใช้สารเคมีอันตรายในรูปแบบหลากหลายและมีความเสี่ยงต่างกันตามชนิดและปริมาณของสารเคมี จึงจำเป็นต้องกำหนดมาตรฐานให้นายจ้างบริหาร จัดการ และดำเนินการด้านความปลอดภัยเพื่อคุ้มครองลูกจ้างที่ทำงานเกี่ยวกับสารเคมีอันตรายให้ปลอดภัยมากขึ้น
กฎหมายฉบับนี้เป็นกฎหมายหลักเฉพาะด้าน การทำงานเกี่ยวกับสารเคมีอันตราย ภายใต้ พ.ร.บ.ความปลอดภัยฯ 2554 โดยกำหนดหน้าที่ของนายจ้างและลูกจ้างครอบคลุมทั้งวงจรของสารเคมี ตั้งแต่การระบุชนิด การจัดทำข้อมูลความปลอดภัย การติดฉลากและป้ายเตือน การคุ้มครองความปลอดภัย การเก็บรักษา การบรรจุ การถ่ายเท การขนถ่าย การขนส่ง การกำจัด การตรวจวัดความเข้มข้น การประเมินความเสี่ยงต่อสุขภาพ และการจัดการเหตุฉุกเฉิน</t>
  </si>
  <si>
    <t>1) บรรจุกฎหมายฉบับนี้ไว้ใน ทะเบียนกฎหมาย OHS/Legal Register
2) จัดทำ Chemical Inventory, SDS Register, วิธีปฏิบัติงาน, ป้ายเตือน, ฉลาก, และระบบควบคุมเอกสาร
3) ทำ Hazard Identification / Risk Assessment สำหรับงานที่เกี่ยวกับสารเคมี
4) จัดระบบ PPE, ventilation, emergency shower/eyewash, spill control, fire protection
5) ตรวจวัดสภาพแวดล้อมและเฝ้าระวังสุขภาพลูกจ้างตามความเสี่ยง
6) จัดทำ Emergency Response Plan และฝึกซ้อมเหตุฉุกเฉินสารเคมี
7) ใช้เป็นเกณฑ์ใน internal audit, legal compliance evaluation, contractor control, training plan, corrective action ของระบบ มรท.8001</t>
  </si>
  <si>
    <t>ประกาศกรมสวัสดิการและคุ้มครองแรงงาน เรื่อง บัญชีรายชื่อสารเคมีอันตราย</t>
  </si>
  <si>
    <t>เป็นประกาศที่ออกตามข้อ 1 ของกฎกระทรวงเกี่ยวกับสารเคมีอันตราย พ.ศ. 2556 เพื่อกำหนดว่า “สารเคมีอันตราย” ที่อยู่ภายใต้กฎกระทรวงมีรายการใดบ้างในทางปฏิบัติ
ประกาศฉบับนี้ไม่ได้กำหนดหน้าที่ปฏิบัติใหม่แยกต่างหากมากนัก แต่มีบทบาทสำคัญในฐานะ ตารางบัญชีรายชื่อสารเคมีอันตราย ที่ใช้เป็นฐานอ้างอิงในการตีความและบังคับใช้กฎกระทรวงฉบับหลัก โดยกำหนดว่า บัญชีรายชื่อสารเคมีอันตรายให้เป็นไปตามตารางท้ายประกาศ และรวมถึงสารเคมีที่มีชื่ออื่นแต่มีสูตรโครงสร้างทางเคมีเดียวกัน (Synonym) ด้วย</t>
  </si>
  <si>
    <t>1) ใช้ประกาศนี้เป็นฐานจัดทำ Chemical Register / Inventory
2) ใช้เทียบชื่อสาร ชื่อการค้า Synonym และ CAS Number เพื่อป้องกันการตกหล่น
3) ใช้ประกอบการประเมินความเสี่ยง การจัดทำ SDS การติดฉลาก และการตรวจประเมินความสอดคล้อง
4) เชื่อมกับข้อกำหนด มรท.8001 เรื่องการเข้าถึงข้อมูลอันตราย การสื่อสารความปลอดภัย และการควบคุมสภาพแวดล้อมในการทำงาน</t>
  </si>
  <si>
    <t>ประกาศกรมสวัสดิการและคุ้มครองแรงงาน เรื่อง แบบบัญชีรายชื่อสารเคมีอันตรายและรายละเอียดข้อมูลความปลอดภัยของสารเคมีอันตราย</t>
  </si>
  <si>
    <t xml:space="preserve">ออกตามข้อ 2 วรรคแรก ของกฎกระทรวงเกี่ยวกับสารเคมีอันตราย พ.ศ. 2556 เพื่อกำหนด “แบบ” ที่นายจ้างต้องใช้ในการจัดทำบัญชีรายชื่อสารเคมีอันตรายและรายละเอียดข้อมูลความปลอดภัยของสารเคมีอันตรายให้เป็นมาตรฐานเดียวกัน
ประกาศฉบับนี้กำหนดว่า แบบบัญชีรายชื่อสารเคมีอันตรายและรายละเอียดข้อมูลความปลอดภัยของสารเคมีอันตราย (สอ.1) ให้เป็นไปตามแบบท้ายประกาศ และใช้บังคับตั้งแต่วันถัดจากวันประกาศในราชกิจจานุเบกษาเป็นต้นไป
แบบท้ายประกาศมีลักษณะเป็นแบบฟอร์มมาตรฐานสำหรับจัดเก็บข้อมูลสารเคมีอย่างเป็นระบบ ครอบคลุมหัวข้อสำคัญ เช่น
1) ข้อมูลระบุตัวสาร/ชื่อการค้า/สูตรเคมี/CAS No./ผู้ผลิตหรือผู้นำเข้า
2) การบ่งชี้ความเป็นอันตรายและองค์ประกอบตามฉลาก
3) องค์ประกอบและข้อมูลส่วนผสม
4) มาตรการปฐมพยาบาล
5) มาตรการผจญเพลิง
6) มาตรการจัดการเมื่อหกหรือรั่วไหล
7) การขนถ่าย เคลื่อนย้าย และการจัดเก็บ
8) การควบคุมการรับสัมผัสและการป้องกันส่วนบุคคล
9) คุณสมบัติทางกายภาพและเคมี
10) ความเสถียรและการไวต่อปฏิกิริยา
11) ข้อมูลพิษวิทยา/นิเวศวิทยา
การกำจัด การขนส่ง และกฎหมายที่เกี่ยวข้อง
ข้อมูลอื่นและการลงนามโดยนายจ้าง/ผู้แทน
</t>
  </si>
  <si>
    <t>1) ใช้แบบ สอ.1 เป็นฐานจัดทำ ทะเบียนสารเคมีอันตราย / SDS file / document control
2) ผูกข้อมูลในแบบเข้ากับการประเมินความเสี่ยง การอบรม การเตรียมพร้อมฉุกเฉิน และการตรวจติดตามภายใน
3) ใช้เป็นหลักฐานประกอบการตรวจประเมิน มรท.8001 ว่าองค์กรมีข้อมูลอันตรายครบ เข้าถึงได้ และสื่อสารต่อผู้ปฏิบัติงานได้จริง
4) ใช้สนับสนุนการควบคุมผู้รับเหมาและพื้นที่ที่มีการใช้สารเคมีในสถานประกอบกิจการ</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</si>
  <si>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และสภาพแวดล้อมในการทำงานเกี่ยวกับไฟฟ้า พ.ศ. 2558</t>
  </si>
  <si>
    <t>1/20/2015</t>
  </si>
  <si>
    <t>https://legal.labour.go.th/images/law/Safety2554/2/s_005.pdf</t>
  </si>
  <si>
    <t>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ให้อำนาจรัฐมนตรีว่าการกระทรวงแรงงานออกกฎกระทรวงกำหนดมาตรฐานด้านความปลอดภัยฯ และเห็นว่าการทำงานเกี่ยวกับไฟฟ้าจำเป็นต้องมีระบบบริหาร จัดการ และดำเนินการด้านความปลอดภัยที่ได้มาตรฐาน เพื่อให้ลูกจ้างมีความปลอดภัยในการทำงานเกี่ยวกับไฟฟ้ามากยิ่งขึ้น
กฎกระทรวงฉบับนี้เป็นกฎหมายลำดับรองภายใต้ พ.ร.บ.ความปลอดภัยฯ 2554 ที่กำหนดมาตรฐานเฉพาะเรื่อง การทำงานเกี่ยวกับไฟฟ้า ครอบคลุมทั้งข้อบังคับภายใน การฝึกอบรม แผนผังวงจรไฟฟ้า ป้ายเตือน ระยะปลอดภัย การใช้อุปกรณ์และ PPE การตรวจสอบบำรุงรักษาระบบไฟฟ้า บริภัณฑ์ไฟฟ้า เครื่องกำเนิดไฟฟ้า ระบบป้องกันฟ้าผ่า และการคุ้มครองลูกจ้างที่ทำงานเกี่ยวกับไฟฟ้าในสถานการณ์เสี่ยงต่าง ๆ</t>
  </si>
  <si>
    <t>1) บรรจุกฎหมายฉบับนี้ไว้ใน ทะเบียนกฎหมายและข้อกำหนด ของระบบ มรท.8001
2) จัดทำหรือทบทวน Electrical Safety Procedure / Work Instruction / Lockout/Tagout (LOTO) / Permit Control หรือระบบใบอนุญาตทำงาน (Permit to Work - PTW) ให้สอดคล้องกับกฎกระทรวงนี้
3) จัด ฝึกอบรมลูกจ้างที่ปฏิบัติงานเกี่ยวกับไฟฟ้า และเก็บหลักฐานการอบรมอย่างเป็นระบบ
4) จัดทำและควบคุม Single Line Diagram / Circuit Diagram ให้เป็นปัจจุบันและตรวจสอบย้อนกลับได้
5) ตรวจสอบความพร้อมของ ป้ายเตือน ระยะปลอดภัย PPE อุปกรณ์ฉนวน เครื่องกำเนิดไฟฟ้า ระบบป้องกันฟ้าผ่า และระบบตรวจบำรุงรักษาไฟฟ้า
6) ใช้กฎหมายนี้เป็นเกณฑ์ในการ internal audit, legal compliance evaluation, contractor control, incident investigation และ corrective action โดยเฉพาะงานติดตั้ง ซ่อม ตรวจสอบ และบำรุงรักษาไฟฟ้า
7) เชื่อมโยงกับการควบคุมผู้รับเหมาไฟฟ้าและผู้ปฏิบัติงานภายนอก เพื่อป้องกันการเข้าพื้นที่เสี่ยงโดยไม่มีมาตรการควบคุมที่เหมาะสม</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</si>
  <si>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และสภาพแวดล้อมในการทำงานเกี่ยวกับความร้อน แสงสว่าง และเสียง พ.ศ. 2559</t>
  </si>
  <si>
    <t>10/17/2013</t>
  </si>
  <si>
    <t>https://legal.labour.go.th/images/law/Safety2554/2/s_004.pdf</t>
  </si>
  <si>
    <t>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ให้อำนาจรัฐมนตรีว่าการกระทรวงแรงงานออกกฎกระทรวงกำหนดมาตรฐานด้านความปลอดภัยฯ และเห็นว่าการทำงานเกี่ยวกับความร้อน แสงสว่าง และเสียง จำเป็นต้องมีระบบการบริหาร จัดการ และดำเนินการที่ได้มาตรฐาน เพื่อให้ลูกจ้างมีความปลอดภัยในการทำงานมากยิ่งขึ้น
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ให้อำนาจรัฐมนตรีว่าการกระทรวงแรงงานออกกฎกระทรวงกำหนดมาตรฐานด้านความปลอดภัยฯ และเห็นว่าการทำงานเกี่ยวกับความร้อน แสงสว่าง และเสียง จำเป็นต้องมีระบบการบริหาร จัดการ และดำเนินการที่ได้มาตรฐาน เพื่อให้ลูกจ้างมีความปลอดภัยในการทำงานมากยิ่งขึ้น</t>
  </si>
  <si>
    <t>1) บรรจุกฎหมายฉบับนี้ไว้ใน ทะเบียนกฎหมายและข้อกำหนด ของระบบ มรท.8001
2) จัดทำหรือทบทวน มาตรการควบคุมความร้อน แสงสว่าง และเสียง ให้ครอบคลุมทั้ง engineering control, administrative control และ PPE
3) จัดให้มี การตรวจวัดสภาวะการทำงาน ตามรอบและตามประเภทกิจการ พร้อมเก็บผลและรายงานตามที่กฎหมายกำหนด
4) จัดทำ แผนปรับปรุงเมื่อค่าตรวจวัดเกินมาตรฐาน และเก็บเอกสาร/หลักฐานไว้ตรวจสอบได้
5) จัดระบบ hearing conservation program, การตรวจสุขภาพ และการเฝ้าระวังสุขภาพแรงงานที่เกี่ยวข้อง
6) ใช้กฎหมายนี้เป็นเกณฑ์ในการ internal audit, legal compliance evaluation, corrective action, training plan และ occupational health review ของระบบ มรท.8001</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</si>
  <si>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และสภาพแวดล้อมในการทำงานเกี่ยวกับที่อับอากาศ พ.ศ. 2562</t>
  </si>
  <si>
    <t>2/15/2019</t>
  </si>
  <si>
    <t>https://legal.labour.go.th/images/law/Safety2554/2/s_00062.pdf</t>
  </si>
  <si>
    <t>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กำหนดให้นายจ้างบริหาร จัดการ และดำเนินการด้านความปลอดภัยให้เป็นไปตามมาตรฐานที่กำหนดในกฎกระทรวง และเห็นว่าการทำงานเกี่ยวกับ “ที่อับอากาศ” จำเป็นต้องมีระบบบริหาร จัดการ และดำเนินการที่ได้มาตรฐาน เพื่อให้ลูกจ้างและผู้เกี่ยวข้องมีความปลอดภัยมากยิ่งขึ้น จึงจำเป็นต้องออกกฎกระทรวงนี้
กฎกระทรวงฉบับนี้เป็นกฎหมายลำดับรองภายใต้ พ.ร.บ.ความปลอดภัยฯ 2554 ที่กำหนดมาตรฐานเฉพาะเรื่อง การทำงานในที่อับอากาศ (Confined Space) โดยครอบคลุมตั้งแต่นิยามสภาพอันตราย บรรยากาศอันตราย การประเมินอันตราย การตรวจวัดอากาศ การควบคุมงาน ผู้ช่วยเหลือ ระบบอนุญาตทำงาน และการฝึกอบรมผู้เกี่ยวข้องทั้งหมด</t>
  </si>
  <si>
    <t>1) บรรจุกฎหมายฉบับนี้ไว้ใน ทะเบียนกฎหมายและข้อกำหนด ของระบบ มรท.8001
2) จัดทำ Confined Space Procedure / Permit to Work / Rescue Plan / Emergency Plan ให้ครบถ้วน
3) ระบุและขึ้นทะเบียน พื้นที่อับอากาศ ทุกจุดในสถานประกอบกิจการ พร้อมติดป้ายเตือนให้ชัดเจน
4) จัดทำ การประเมินสภาพอันตรายและการตรวจวัดบรรยากาศ ก่อนเข้าและระหว่างทำงาน พร้อมเก็บบันทึกอย่างเป็นระบบ
แต่งตั้งและอบรม ผู้อนุญาต ผู้ควบคุมงาน ผู้ช่วยเหลือ และผู้ปฏิบัติงาน ให้ตรงตามบทบาท
5) ควบคุม PPE, rescue equipment, communication device, fire protection, isolation/lockout และการปิดกั้นพลังงานหรือสารอันตรายจากภายนอก
6) ใช้กฎหมายนี้เป็นเกณฑ์ในการ internal audit, legal compliance evaluation, risk assessment, contractor control, corrective action และ emergency drill review ของระบบ มรท.8001</t>
  </si>
  <si>
    <t>กฎกระทรวง กำหนดมาตรฐานการตรวจสุขภาพลูกจ้างซึ่งทำงานเกี่ยวกับปัจจัยเสี่ยง พ.ศ. 2563</t>
  </si>
  <si>
    <t>https://legal.labour.go.th/images/law/Safety2554/2/s_0030.pdf</t>
  </si>
  <si>
    <t>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กำหนดให้นายจ้างบริหาร จัดการ และดำเนินการด้านความปลอดภัยให้เป็นไปตามมาตรฐานที่กำหนดในกฎกระทรวง และเพื่อให้ลูกจ้างซึ่งทำงานเกี่ยวกับปัจจัยเสี่ยงมีความปลอดภัยในการทำงาน จึงสมควรกำหนดหลักเกณฑ์การตรวจสุขภาพของลูกจ้างกลุ่มดังกล่าวโดยเฉพาะ
กฎกระทรวงฉบับนี้เป็นกฎหมายลำดับรองภายใต้ พ.ร.บ.ความปลอดภัยฯ 2554 ที่กำหนดมาตรฐานเรื่อง การตรวจสุขภาพลูกจ้างซึ่งทำงานเกี่ยวกับปัจจัยเสี่ยง โดยตรง และ ยกเลิกกฎกระทรวงเดิม พ.ศ. 2547 ที่ใช้เรื่องเดียวกัน</t>
  </si>
  <si>
    <t>1) บรรจุกฎหมายฉบับนี้ไว้ใน ทะเบียนกฎหมายและข้อกำหนด ของระบบ มรท.8001
2) ระบุให้ชัดว่าตำแหน่ง/งานใดเป็น งานเกี่ยวกับปัจจัยเสี่ยง
3) จัดทำ แผนตรวจสุขภาพตามปัจจัยเสี่ยง ตั้งแต่ก่อนเริ่มงาน ระหว่างงาน เปลี่ยนงาน และกลับเข้าทำงาน
4) ควบคุม รายชื่อพนักงานกลุ่มเสี่ยง, สมุดสุขภาพประจำตัว, บันทึกผลตรวจ, ระยะเวลาเก็บรักษาเอกสาร, และระบบแจ้งผลตรวจ
5) กำหนดขั้นตอน จัดงานให้เหมาะสม / fit to work /กลับมาทำงาน / return to work / การเปลี่ยนงาน / job transfer สำหรับลูกจ้างที่มีข้อจำกัดด้านสุขภาพ
6) ใช้กฎหมายนี้เป็นเกณฑ์ในการ internal audit, legal compliance evaluation, occupational health review และ corrective action
7) เชื่อมโยงกับการประเมินความเสี่ยงจากสารเคมี เสียง ความร้อน แสง รังสี ฝุ่น และปัจจัยคุกคามอื่นในสถานประกอบกิจการ เพื่อให้การตรวจสุขภาพสอดคล้องกับความเสี่ยงจริง</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</si>
  <si>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และสภาพแวดล้อมในการทำงานเกี่ยวกับนั่งร้านและค้ำยัน พ.ศ. 2564</t>
  </si>
  <si>
    <t>https://legal.labour.go.th/images/law/Safety2554/2/T_0011.pdf</t>
  </si>
  <si>
    <t>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2544 กำหนดให้นายจ้างบริหาร จัดการ และดำเนินการด้านความปลอดภัยให้เป็นไปตามมาตรฐานที่กำหนดในกฎกระทรวง และเพื่อให้การทำงานเกี่ยวกับนั่งร้านและค้ำยันมีมาตรฐาน อันจะทำให้ลูกจ้างมีความปลอดภัยในการทำงานมากขึ้น จึงจำเป็นต้องออกกฎกระทรวงนี้
กฎกระทรวงฉบับนี้เป็นกฎหมายลำดับรองภายใต้ พ.ร.บ.ความปลอดภัยฯ 2554 ที่กำหนดมาตรฐานเฉพาะเรื่อง นั่งร้านและค้ำยัน สำหรับงานก่อสร้าง งานติดตั้ง และงานซ่อมบำรุง โดยกำหนดทั้งเรื่องอุปกรณ์คุ้มครอง ข้อบังคับการทำงาน เขตอันตราย ป้ายเตือน การใช้งานตามคู่มือ การคำนวณออกแบบโดยวิศวกร การตรวจสอบก่อนใช้งาน และเงื่อนไขด้านความมั่นคงแข็งแรงของค้ำยันอย่างชัดเจน</t>
  </si>
  <si>
    <t>1) บรรจุกฎหมายฉบับนี้ไว้ใน ทะเบียนกฎหมายและข้อกำหนด ของระบบ มรท.8001
2) จัดทำ Scaffold / Shoring Procedure, วิธีปฏิบัติงาน, ข้อบังคับ, และแบบฟอร์มตรวจสอบก่อนใช้งานให้ครบถ้วน
3) ควบคุมให้มี วิศวกรคำนวณ ออกแบบ และควบคุม ในกรณีที่กฎหมายกำหนด
4) จัดทำระบบ inspection ก่อนใช้งาน ระหว่างใช้งาน และการซ่อมแซมปรับปรุง พร้อมบันทึกผล
5) ควบคุม เขตอันตราย ป้ายเตือน การกั้นพื้นที่ วัสดุตกหล่น และผู้ไม่เกี่ยวข้อง ให้เป็นรูปธรรม
7) อบรมลูกจ้างและผู้รับเหมาเกี่ยวกับ การใช้นั่งร้าน ค้ำยัน PPE และข้อห้ามในสภาพอากาศ/สภาพงานที่ไม่ปลอดภัย
8) ใช้กฎหมายนี้เป็นเกณฑ์ในการ internal audit, legal compliance evaluation, contractor control, work-at-height review และ corrective action ของระบบ มรท.8001</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</si>
  <si>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 ในสถานที่ที่มีอันตรายจากการตกจากที่สูงและที่ลาดชัน จากวัสดุกระเด็น ตกหล่น และพังทลาย และจากการตกลงไปในภาชนะเก็บหรือรองรับวัสดุ พ.ศ. 2564</t>
  </si>
  <si>
    <t>https://legal.labour.go.th/images/law/Safety2554/2/S_0051.pdf</t>
  </si>
  <si>
    <t>เหตุผลในการออกกฎกระทรวงฉบับนี้ คือ นายจ้างอาจให้ลูกจ้างทำงานในสถานที่ที่มีอันตรายจากการตกจากที่สูงและที่ลาดชัน จากวัสดุกระเด็น ตกหล่น และพังทลาย รวมถึงการตกลงไปในภาชนะเก็บหรือรองรับวัสดุ ซึ่งอาจก่ออันตรายแก่ลูกจ้างได้ และมาตรา 8 วรรคหนึ่ง แห่งพระราชบัญญัติความปลอดภัย อาชีวอนามัย และสภาพแวดล้อมในการทำงาน พ.ศ. 2554 กำหนดให้นายจ้างต้องบริหาร จัดการ และดำเนินการด้านความปลอดภัยให้เป็นไปตามมาตรฐานที่กำหนดในกฎกระทรวง จึงจำเป็นต้องออกกฎกระทรวงนี้
กฎกระทรวงฉบับนี้เป็นกฎหมายลำดับรองภายใต้ พ.ร.บ.ความปลอดภัยฯ 2554 ที่กำหนดมาตรฐานเฉพาะเกี่ยวกับ การทำงานในที่สูงและที่ลาดชัน, การป้องกันวัสดุกระเด็น ตกหล่น และพังทลาย, และ การป้องกันการตกลงไปในถัง บ่อ กรวย หรือภาชนะเก็บ/รองรับวัสดุ โดยกำหนดหน้าที่นายจ้างไว้อย่างเป็นระบบตั้งแต่ข้อบังคับการทำงาน อุปกรณ์ป้องกัน PPE การตรวจสอบ การกั้นเขตอันตราย ไปจนถึงมาตรการป้องกันเฉพาะตามลักษณะงาน</t>
  </si>
  <si>
    <t>1) บรรจุกฎหมายฉบับนี้ไว้ใน ทะเบียนกฎหมาย ตามข้อกำหนด มรท.8001 ข้อ 4.1.6
2) จัดทำ Work at Height Procedure / Fall Protection Procedure / Material Falling Prevention Procedure ให้ครอบคลุมลักษณะงานตามกฎกระทรวงนี้
3) จัดให้มี การระบุอันตราย การประเมินความเสี่ยง การวางแผนงาน และมาตรการควบคุม ก่อนเริ่มงานทุกครั้ง
4) ควบคุม PPE, จุดยึดตรึง, ราวกันตก, ตาข่ายนิรภัย, บันได, นั่งร้าน, เขตอันตราย และป้ายเตือน ให้พร้อมใช้งานและตรวจสอบได้
5) ใช้กฎหมายนี้เป็นเกณฑ์ในการ internal audit, legal compliance evaluation, contractor control, work-at-height permit review, corrective action และ toolbox talk
6) ทบทวนความเชื่อมโยงกับงานก่อสร้าง งานซ่อมบำรุง งานลำเลียงวัสดุ และงานใกล้ถัง/บ่อ เพื่อป้องกันอุบัติเหตุจากการตก การถูกวัสดุหล่นใส่ และการพังทลายของโครงสร้างหรือกองวัสดุ</t>
  </si>
  <si>
    <t>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และสภาพแวดล้อมในการทำงานเกี่ยวกับเครื่องจักร ปั้นจั่น และหม้อน้ำ พ.ศ. 2564</t>
  </si>
  <si>
    <t>https://legal.labour.go.th/images/law/Safety2554/2/S_0038.pdf</t>
  </si>
  <si>
    <t>เหตุผลในการออกกฎกระทรวงฉบับนี้ คือ มาตรา ๘ วรรคหนึ่ง แห่งพระราชบัญญัติความปลอดภัย อาชีวอนามัย และสภาพแวดล้อมในการทำงาน พ.ศ. ๒๕๕๔ กำหนดให้นายจ้างบริหาร จัดการ และดำเนินการด้านความปลอดภัยให้เป็นไปตามมาตรฐานที่กำหนดในกฎกระทรวง และเพื่อให้การทำงานเกี่ยวกับเครื่องจักร ปั้นจั่น และหม้อน้ำมีมาตรฐาน อันจะทำให้ลูกจ้างมีความปลอดภัยในการทำงานมากขึ้น จึงจำเป็นต้องออกกฎกระทรวงนี้
เหตุผลในการออกกฎกระทรวงฉบับนี้ คือ มาตรา ๘ วรรคหนึ่ง แห่งพระราชบัญญัติความปลอดภัย อาชีวอนามัย และสภาพแวดล้อมในการทำงาน พ.ศ. ๒๕๕๔ กำหนดให้นายจ้างบริหาร จัดการ และดำเนินการด้านความปลอดภัยให้เป็นไปตามมาตรฐานที่กำหนดในกฎกระทรวง และเพื่อให้การทำงานเกี่ยวกับเครื่องจักร ปั้นจั่น และหม้อน้ำมีมาตรฐาน อันจะทำให้ลูกจ้างมีความปลอดภัยในการทำงานมากขึ้น จึงจำเป็นต้องออกกฎกระทรวงนี้</t>
  </si>
  <si>
    <t>1) บรรจุกฎหมายฉบับนี้ไว้ใน ทะเบียนกฎหมายตามข้อกำหนด มรท.8001 ข้อ 4.1.6
2) จัดทำหรือทบทวน Machine Safety Procedure, Crane/Lifting Procedure, Forklift Procedure, Lift Procedure, Boiler &amp; Pressure Vessel Procedure, Welding Safety Procedure ให้สอดคล้องกับข้อกำหนดใหม่
3) ควบคุมให้มี คู่มือใช้งาน รายละเอียดคุณลักษณะ การตรวจสอบ การทดสอบ และเอกสารรับรองโดยวิศวกร ตามกรณีที่กฎหมายกำหนด
4) จัดให้มี การอบรมเฉพาะบทบาท เช่น ผู้ขับรถยก ผู้บังคับปั้นจั่น ผู้ให้สัญญาณ ผู้ยึดเกาะวัสดุ ผู้ควบคุมหม้อน้ำ ผู้ปฏิบัติงานเครื่องเชื่อม และผู้ทำงานกับเครื่องจักรอันตราย
5) วางระบบ inspection / maintenance / annual testing / notification / record retention สำหรับเครื่องจักร ปั้นจั่น ลิฟต์ รอก หม้อน้ำ และภาชนะรับความดัน
6) จัดทำ lifting plan / risk assessment / hazard identification / lockout-tagout / emergency response / confined space linkage ตามลักษณะงาน
7) ใช้กฎหมายฉบับนี้เป็นเกณฑ์ในการ internal audit, legal compliance evaluation, contractor control, permit review, incident investigation และ corrective action ของระบบ มรท.8001</t>
  </si>
  <si>
    <t>กฎกระทรวง กำหนดมาตรฐานการทำงานเกี่ยวกับรังสี พ.ศ. 2564</t>
  </si>
  <si>
    <t>https://legal.labour.go.th/images/law/Safety2554/2/T_0016.pdf</t>
  </si>
  <si>
    <t>เหตุผลในการออกกฎกระทรวงฉบับนี้ คือ มาตรา 8 วรรคหนึ่ง แห่งพระราชบัญญัติความปลอดภัย อาชีวอนามัย และสภาพแวดล้อมในการทำงาน พ.ศ. 2554 กำหนดให้นายจ้างบริหาร จัดการ และดำเนินการด้านความปลอดภัยให้เป็นไปตามมาตรฐานที่กำหนดในกฎกระทรวง และเพื่อให้การทำงานเกี่ยวกับรังสีมีมาตรฐาน อันจะทำให้ลูกจ้างมีความปลอดภัยในการทำงานมากขึ้น จึงจำเป็นต้องออกกฎกระทรวงนี้
กฎกระทรวงฉบับนี้เป็นกฎหมายลำดับรองภายใต้ พ.ร.บ.ความปลอดภัยฯ ๒๕๕๔ ที่กำหนดมาตรฐานเฉพาะเรื่อง การทำงานเกี่ยวกับรังสี และ ยกเลิกกฎกระทรวงเดิม พ.ศ. 2547 ที่ใช้กับรังสีชนิดก่อไอออน โดยขยายกรอบการควบคุมให้เชื่อมโยงกับกฎหมายว่าด้วยพลังงานนิวเคลียร์เพื่อสันติอย่างชัดเจน</t>
  </si>
  <si>
    <t>1) บรรจุกฎหมายฉบับนี้ไว้ใน ทะเบียนกฎหมายและข้อกำหนด มรท.8001 ข้อ 4.1.6
2) จัดทำ Radiation Safety Procedure, ข้อบังคับการทำงาน, แนวปฏิบัติ, และเอกสารแจ้งเตือนหลายภาษาให้เหมาะกับแรงงานในพื้นที่
3) ระบุและควบคุม พื้นที่ควบคุม (Controlled Area) ให้ชัดเจน พร้อมระบบอนุญาตเข้าออกและการสื่อสารข้อห้าม
4) จัดทำระบบ dose monitoring, การเก็บข้อมูลปริมาณรังสีสะสม, การแจ้งผลให้ลูกจ้าง, และการรายงานกรณีเกินเกณฑ์
5) แต่งตั้งและกำหนดบทบาทของ เจ้าหน้าที่ความปลอดภัยทางรังสี/เจ้าหน้าที่เทคนิค/จป.หัวหน้างาน ให้ครบตามประเภทต้นกำเนิดรังสี
6) จัดทำ Emergency Response Plan และฝึกซ้อมอย่างน้อยปีละ ๑ ครั้ง พร้อมทดสอบสัญญาณฉุกเฉินตามรอบกฎหมาย
7) ควบคุม PPE, personal dosimeter, hygiene facility, decontamination, radioactive waste handling และการหยุดงานเมื่อพบการไม่ปฏิบัติตาม
8) ใช้กฎหมายนี้เป็นเกณฑ์ในการ internal audit, legal compliance evaluation, occupational health review, contractor control, incident response และ corrective action ของระบบ มรท.8001</t>
  </si>
  <si>
    <t>กฎกระทรวง การจัดให้มีเจ้าหน้าที่ความปลอดภัยในการทำงาน บุคลากร หน่วยงาน หรือคณะบุคคลเพื่อดำเนินการด้านความปลอดภัยในสถานประกอบกิจการ พ.ศ. 2565</t>
  </si>
  <si>
    <t>6/17/2024</t>
  </si>
  <si>
    <t>https://legal.labour.go.th/images/law/Safety2554/2/T_00091.pdf</t>
  </si>
  <si>
    <t>เหตุผลในการออกกฎกระทรวงฉบับนี้ คือ มาตรา 13 แห่งพระราชบัญญัติความปลอดภัย อาชีวอนามัย และสภาพแวดล้อมในการทำงาน พ.ศ. 2554 บัญญัติให้นายจ้างต้องจัดให้มีเจ้าหน้าที่ความปลอดภัยในการทำงาน บุคลากร หน่วยงาน หรือคณะบุคคลเพื่อดำเนินการด้านความปลอดภัยในสถานประกอบกิจการ และให้มีการขึ้นทะเบียนต่อกรมสวัสดิการและคุ้มครองแรงงาน จึงจำเป็นต้องกำหนดหลักเกณฑ์ วิธีการ และเงื่อนไขให้ชัดเจน เพื่อเป็นกลไกสำคัญในการกำกับ ดูแล และบริหารจัดการด้านความปลอดภัยในสถานประกอบกิจการให้มีประสิทธิภาพยิ่งขึ้น
กฎกระทรวงฉบับนี้เป็นกฎหมายลำดับรองภายใต้ พ.ร.บ.ความปลอดภัยฯ 2554 ที่กำหนดระบบการจัดให้มี เจ้าหน้าที่ความปลอดภัยในการทำงาน (จป.), คณะกรรมการความปลอดภัย, และ หน่วยงานความปลอดภัย ในสถานประกอบกิจการอย่างเป็นระบบ และ ยกเลิกกฎกระทรวงเดิม พ.ศ. 2549</t>
  </si>
  <si>
    <t>1) ทบทวนว่าองค์กรอยู่ใน บัญชี 1, 2 หรือ 3 และมีจำนวนลูกจ้างถึงเกณฑ์ใด เพื่อกำหนดว่าต้องมี จป.ระดับใด คณะกรรมการความปลอดภัย หรือหน่วยงานความปลอดภัยหรือไม่
2) จัดทำ โครงสร้างบทบาทหน้าที่ด้านความปลอดภัย ให้ชัดเจน เช่น จป.หัวหน้างาน จป.บริหาร จป.วิชาชีพ คณะกรรมการความปลอดภัย และผู้บริหารหน่วยงานความปลอดภัย
3) จัดทำ/ปรับปรุง Job Description, Appointment Letter, Training Matrix, Competency Record, Registration Record, Meeting Record, Safety Report ให้ครบถ้วน
4) ใช้ข้อกำหนดนี้เชื่อมกับ นโยบายด้านความปลอดภัย การประเมินความเสี่ยง การอบรม การสอบสวนอุบัติเหตุ การติดตามผล และการทบทวนฝ่ายบริหาร
5) บรรจุประเด็นนี้ไว้ใน internal audit / legal compliance evaluation / management review เพราะเป็นข้อกำหนดเชิงระบบที่ตรวจพบได้ชัดจากเอกสารและหลักฐานการดำเนินงาน
6) สำหรับ มรท.8001 ข้อกำหนดนี้ช่วยเสริมมิติ Leadership, Responsibility, Worker Participation, Training, Documented Information, Compliance Evaluation และ Continual Improvement ได้อย่างชัดเจน</t>
  </si>
  <si>
    <t>กฎกระทรวง กำหนดมาตรฐานเกี่ยวกับระบบการจัดการด้านความปลอดภัย พ.ศ. 2565</t>
  </si>
  <si>
    <t>https://legal.labour.go.th/images/law/Safety2554/2/T_0015.pdf</t>
  </si>
  <si>
    <t>เหตุผลในการออกกฎกระทรวงฉบับนี้ คือ มาตรา ๘ วรรคหนึ่ง แห่งพระราชบัญญัติความปลอดภัย อาชีวอนามัย และสภาพแวดล้อมในการทำงาน พ.ศ. ๒๕๕๔ กำหนดให้นายจ้างต้องบริหาร จัดการ และดำเนินการด้านความปลอดภัยให้เป็นไปตามมาตรฐานที่กำหนดในกฎกระทรวง และเห็นว่า “ระบบการจัดการด้านความปลอดภัย” เป็นกลไกสำคัญที่จะทำให้การบริหารและการจัดการด้านความปลอดภัย อาชีวอนามัย และสภาพแวดล้อมในการทำงานของสถานประกอบกิจการเป็นไปอย่างมีระบบ มีประสิทธิภาพ และมีการทบทวน ปรับปรุง แก้ไขอย่างต่อเนื่อง เพื่อให้ลูกจ้างมีความปลอดภัยในการทำงานยิ่งขึ้น จึงจำเป็นต้องออกกฎกระทรวงนี้
กฎกระทรวงฉบับนี้เป็นกฎหมายลำดับรองภายใต้ พ.ร.บ.ความปลอดภัยฯ 2554 ที่กำหนดให้นายจ้างของสถานประกอบกิจการตาม “บัญชีท้ายกฎกระทรวง” ซึ่งมีลูกจ้างตั้งแต่ 50 คนขึ้นไป ต้องจัดให้มี ระบบการจัดการด้านความปลอดภัย ภายใน 60 วันนับแต่วันที่มีลูกจ้างครบเกณฑ์ และได้ ยกเลิกกฎกระทรวงกำหนดมาตรฐานในการบริหารและการจัดการด้านความปลอดภัย อาชีวอนามัย และสภาพแวดล้อมในการทำงาน (ฉบับที่ 2) พ.ศ. 2553</t>
  </si>
  <si>
    <t>1) ตรวจสอบก่อนว่าองค์กรอยู่ใน บัญชีท้ายกฎกระทรวง และมีลูกจ้างถึงเกณฑ์ 50 คนขึ้นไปหรือไม่
2) จัดทำหรือทบทวน นโยบายความปลอดภัย, โครงสร้างความรับผิดชอบ, แผนงาน OHS, ระบบติดตามผล, การทบทวนฝ่ายบริหาร, และ กลไกรับข้อเสนอแนะ/ข้อร้องเรียน ให้เชื่อมโยงเป็นระบบเดียวกัน
3) จัดทำ เอกสารระบบ, บันทึกการทบทวน, แผนปฏิบัติการ, หลักฐานการสื่อสารและการมีส่วนร่วมของลูกจ้าง, และ หลักฐานการปรับปรุงระบบ ให้ตรวจสอบได้
4) ผูกกฎหมายฉบับนี้เข้ากับ internal audit, legal compliance evaluation, management review, corrective action และ continual improvement ในระบบ มรท.8001
5) หากองค์กรใช้ ISO 45001 หรือมาตรฐานเทียบเท่าอยู่แล้ว ควรตรวจเทียบช่องว่างกับข้อกำหนดของกฎกระทรวงนี้ เพื่อใช้เป็นหลักฐานรองรับความสอดคล้องทางกฎหมายให้ชัดเจนขึ้น</t>
  </si>
  <si>
    <t>กฎกระทรวง การอนุญาตเป็นผู้ชำนาญการด้านความปลอดภัย อาชีวอนามัย และสภาพแวดล้อมในการทำงาน พ.ศ. 2567</t>
  </si>
  <si>
    <t>11/20/2024</t>
  </si>
  <si>
    <t>https://legal.labour.go.th/images/law/Safety2554/2567/Safety_14-11-67.pdf</t>
  </si>
  <si>
    <t>เหตุผลในการออกกฎกระทรวงฉบับนี้ คือ พระราชบัญญัติความปลอดภัย อาชีวอนามัย และสภาพแวดล้อมในการทำงาน พ.ศ. 2554 กำหนดให้ต้องมีหลักเกณฑ์เรื่องการขอใบอนุญาต การออกใบอนุญาต คุณสมบัติของผู้ชำนาญการ การควบคุมการปฏิบัติงานของผู้ได้รับใบอนุญาต การต่ออายุใบอนุญาต การออกใบแทนใบอนุญาต การสั่งพักใช้ การเพิกถอนใบอนุญาต และค่าธรรมเนียมของ “ผู้ชำนาญการด้านความปลอดภัย อาชีวอนามัย และสภาพแวดล้อมในการทำงาน” จึงจำเป็นต้องออกกฎกระทรวงนี้เพื่อกำหนดระบบดังกล่าวให้ชัดเจนและใช้บังคับได้จริง
กฎกระทรวงฉบับนี้เป็นกฎหมายลำดับรองภายใต้ พ.ร.บ.ความปลอดภัยฯ 2554 ที่กำหนดระบบ “ใบอนุญาตผู้ชำนาญการด้านความปลอดภัย อาชีวอนามัย และสภาพแวดล้อมในการทำงาน” อย่างครบวงจร ตั้งแต่การขอรับใบอนุญาต การตรวจคุณสมบัติ การฝึกอบรม/การประเมิน การออกใบอนุญาต การต่ออายุ การออกใบแทน การพักใช้และเพิกถอน รวมทั้งการควบคุมการปฏิบัติงานและค่าธรรมเนียม</t>
  </si>
  <si>
    <t>1) ทบทวนทะเบียนกฎหมายให้ครอบคลุมกฎกระทรวงฉบับนี้ โดยเฉพาะองค์กรที่ต้องใช้ผู้ชำนาญการภายนอกหรือบุคลากรภายในที่ต้องขึ้นเป็นผู้ชำนาญการตามกฎหมาย
2) ตรวจสอบคุณสมบัติ สถานะใบอนุญาต อายุใบอนุญาต การต่ออายุ และหลักฐานการพัฒนาความรู้ของผู้ชำนาญการที่องค์กรใช้ เพื่อป้องกันการใช้บุคคลที่ไม่มีสิทธิหรือใบอนุญาตหมดอายุ
3) ควบคุมเอกสารสำคัญ เช่น คำสั่งแต่งตั้ง/ว่าจ้าง สำเนาใบอนุญาต รายงานผลการปฏิบัติงาน หนังสือรับรอง ผลการประเมินอันตราย แผนงานด้านความปลอดภัย และหลักฐานการแจ้งต่ออธิบดี ให้พร้อมตรวจสอบ
4) ใช้กฎหมายฉบับนี้เชื่อมกับระบบ มรท.8001 ในเรื่องการคัดเลือกผู้มีความสามารถ การประเมินความสอดคล้องตามกฎหมาย การตรวจติดตามภายใน และการควบคุมผู้รับจ้าง/ที่ปรึกษาด้านความปลอดภัย
5) หากองค์กรมี จป. ระดับเทคนิค/เทคนิคขั้นสูง/วิชาชีพ ที่จะพัฒนาไปเป็นผู้ชำนาญการ ควรจัดทำแผนพัฒนาความสามารถและเส้นทางคุณวุฒิให้ชัดเจน เพื่อใช้ทั้งเชิง compliance และเชิงพัฒนาระบบความปลอดภัยขององค์กร</t>
  </si>
  <si>
    <t>Summary KPI</t>
  </si>
  <si>
    <t>Metric</t>
  </si>
  <si>
    <t>Value</t>
  </si>
  <si>
    <t>Definition</t>
  </si>
  <si>
    <t>จำนวนรายการข้อกำหนดทั้งหมดในไฟล์</t>
  </si>
  <si>
    <t>Active Laws / Regulations</t>
  </si>
  <si>
    <t>จำนวนรายการที่ Legal Validity Status = Active</t>
  </si>
  <si>
    <t>จำนวนรายการที่ Compliance Implementation Status = Implemented</t>
  </si>
  <si>
    <t>จำนวนรายการที่สถานะอยู่ระหว่างทบทวน</t>
  </si>
  <si>
    <t>จำนวนรายการที่ Compliance Implementation Status = Evaluated</t>
  </si>
  <si>
    <t>Blank Status</t>
  </si>
  <si>
    <t>จำนวนรายการที่สถานะการดำเนินการว่าง</t>
  </si>
  <si>
    <t>Inactive Laws</t>
  </si>
  <si>
    <t>จำนวนรายการที่ Legal Validity Status = Inactive</t>
  </si>
  <si>
    <t>Blank Validity</t>
  </si>
  <si>
    <t>จำนวนรายการที่สถานะความมีผลใช้บังคับว่าง</t>
  </si>
  <si>
    <t>จำนวนรายการ Active แต่ยังไม่ Implemented</t>
  </si>
  <si>
    <t>Implemented / Total Legal Requirements</t>
  </si>
  <si>
    <t>หมวดกฎหมายที่มีจำนวนรายการมากที่สุด</t>
  </si>
  <si>
    <t>Top Exposure Count</t>
  </si>
  <si>
    <t>จำนวนรายการของหมวดที่มากที่สุด</t>
  </si>
  <si>
    <t>Summary by Category</t>
  </si>
  <si>
    <t>Count</t>
  </si>
  <si>
    <t>%</t>
  </si>
  <si>
    <t>Notes</t>
  </si>
  <si>
    <t>Priority follow-up; Inactive 2</t>
  </si>
  <si>
    <t>Controlled</t>
  </si>
  <si>
    <t>Archive review 1</t>
  </si>
  <si>
    <t>Upcoming monitoring</t>
  </si>
  <si>
    <t>Priority follow-up</t>
  </si>
  <si>
    <t>Summary Trend</t>
  </si>
  <si>
    <t>Month</t>
  </si>
  <si>
    <t>Trend Notes</t>
  </si>
  <si>
    <t>1975-02</t>
  </si>
  <si>
    <t>Trend อ้างอิงจาก Date of Issue / Effective Date</t>
  </si>
  <si>
    <t>1994-06</t>
  </si>
  <si>
    <t>ใช้ตีความเป็น distribution ของรายการใน register มากกว่าความคืบหน้าการปิดงาน</t>
  </si>
  <si>
    <t>1998-02</t>
  </si>
  <si>
    <t>มี Blank Date 1 รายการ และ Future Date 3 รายการ ควรแยก upcoming monitoring</t>
  </si>
  <si>
    <t>1998-08</t>
  </si>
  <si>
    <t>1998-09</t>
  </si>
  <si>
    <t>2000-01</t>
  </si>
  <si>
    <t>2002-09</t>
  </si>
  <si>
    <t>2004-04</t>
  </si>
  <si>
    <t>2005-03</t>
  </si>
  <si>
    <t>2008-04</t>
  </si>
  <si>
    <t>2008-12</t>
  </si>
  <si>
    <t>2012-12</t>
  </si>
  <si>
    <t>2013-06</t>
  </si>
  <si>
    <t>2013-10</t>
  </si>
  <si>
    <t>2013-11</t>
  </si>
  <si>
    <t>2013-12</t>
  </si>
  <si>
    <t>2015-01</t>
  </si>
  <si>
    <t>2015-11</t>
  </si>
  <si>
    <t>2016-02</t>
  </si>
  <si>
    <t>2016-11</t>
  </si>
  <si>
    <t>2017-01</t>
  </si>
  <si>
    <t>2017-07</t>
  </si>
  <si>
    <t>2018-11</t>
  </si>
  <si>
    <t>2019-02</t>
  </si>
  <si>
    <t>2019-08</t>
  </si>
  <si>
    <t>2020-03</t>
  </si>
  <si>
    <t>2020-05</t>
  </si>
  <si>
    <t>2021-01</t>
  </si>
  <si>
    <t>2021-02</t>
  </si>
  <si>
    <t>2021-03</t>
  </si>
  <si>
    <t>2021-06</t>
  </si>
  <si>
    <t>2021-08</t>
  </si>
  <si>
    <t>2022-02</t>
  </si>
  <si>
    <t>2022-04</t>
  </si>
  <si>
    <t>2022-06</t>
  </si>
  <si>
    <t>2022-07</t>
  </si>
  <si>
    <t>2022-11</t>
  </si>
  <si>
    <t>2024-06</t>
  </si>
  <si>
    <t>2024-11</t>
  </si>
  <si>
    <t>2024-12</t>
  </si>
  <si>
    <t>2025-04</t>
  </si>
  <si>
    <t>2025-07</t>
  </si>
  <si>
    <t>2025-11</t>
  </si>
  <si>
    <t>2025-12</t>
  </si>
  <si>
    <t>2026-01</t>
  </si>
  <si>
    <t>2026-03</t>
  </si>
  <si>
    <t>2026-09</t>
  </si>
  <si>
    <t>2026-12</t>
  </si>
  <si>
    <t>Action Backlog</t>
  </si>
  <si>
    <t>ลำดับ</t>
  </si>
  <si>
    <t>ชื่อกฎหมาย/ข้อกำหนด</t>
  </si>
  <si>
    <t>หมวด</t>
  </si>
  <si>
    <t>สถานะปัจจุบัน</t>
  </si>
  <si>
    <t>ประเด็นที่ต้องทำ</t>
  </si>
  <si>
    <t>หมายเหตุ</t>
  </si>
  <si>
    <t>ยืนยันผลประเมิน / owner / implementation evidence</t>
  </si>
  <si>
    <t>Immediate action</t>
  </si>
  <si>
    <t>ยืนยันการ archive หรือ retained for reference</t>
  </si>
  <si>
    <t>Archive review</t>
  </si>
  <si>
    <t>ยืนยัน effective date / data correction</t>
  </si>
  <si>
    <t>Date unclear</t>
  </si>
  <si>
    <t>ติดตามเป็น upcoming legal monitoring</t>
  </si>
  <si>
    <t>Future monitoring</t>
  </si>
  <si>
    <t>Workbook Guide</t>
  </si>
  <si>
    <t>วัตถุประสงค์</t>
  </si>
  <si>
    <t>ไฟล์นี้ใช้สรุปผล Legal Dashboard (LD) จากข้อมูลจริงในทะเบียนกฎหมาย โดยคงโครงสร้างหลักจากไฟล์ตัวอย่างและปรับรูปแบบเป็น Modern Executive</t>
  </si>
  <si>
    <t>คำอธิบายรายงาน ประจำเดือน</t>
  </si>
  <si>
    <r>
      <t xml:space="preserve">Current month snapshot: </t>
    </r>
    <r>
      <rPr>
        <sz val="10"/>
        <color rgb="FFFF0000"/>
        <rFont val="Aptos"/>
        <family val="2"/>
      </rPr>
      <t xml:space="preserve"> เดือน มีนาคม</t>
    </r>
    <r>
      <rPr>
        <sz val="10"/>
        <color rgb="FF000000"/>
        <rFont val="Aptos"/>
      </rPr>
      <t xml:space="preserve"> | ไม่มี baseline เดือนก่อนหน้าในไฟล์นี้</t>
    </r>
  </si>
  <si>
    <t>หลักการตีความ</t>
  </si>
  <si>
    <t>ใช้ Compliance Implementation Status + Legal Validity Status เป็น KPI หลัก และมอง Active but not Implemented เป็น priority observation</t>
  </si>
  <si>
    <t>Dashboard</t>
  </si>
  <si>
    <t>หน้าสรุปผู้บริหาร: KPI cards, charts, executive highlights, backlog preview และ recommendations</t>
  </si>
  <si>
    <t>Summary_KPI</t>
  </si>
  <si>
    <t>คัดลอกข้อมูลต้นทางจากไฟล์ legal register ฉบับปัจจุบัน</t>
  </si>
  <si>
    <t>Summary_Category</t>
  </si>
  <si>
    <t>แปลงข้อมูลเพื่อใช้คำนวณ status, validity, pending, blank date และ data issue flags</t>
  </si>
  <si>
    <t>Summary_Trend</t>
  </si>
  <si>
    <t>ตาราง KPI หลักสำหรับ dashboard cards และ executive review</t>
  </si>
  <si>
    <t>Action_Backlog</t>
  </si>
  <si>
    <t>วิเคราะห์จำนวนข้อกำหนดแยกตามหมวดกฎหมายและสถานะ</t>
  </si>
  <si>
    <t>Data_Helper</t>
  </si>
  <si>
    <t>แสดง distribution ตามปี/เดือนของ Issue / Effective Date และ upcoming monitoring observations</t>
  </si>
  <si>
    <t>Raw_Data_Copy</t>
  </si>
  <si>
    <t>รายการติดตามหลักจาก Active pending / inactive archive review / date unclear / future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</si>
</sst>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sz val="12"/>
      <color theme="10"/>
      <name val="Calibri"/>
      <family val="2"/>
      <scheme val="minor"/>
    </font>
    <font>
      <b/>
      <sz val="18"/>
      <color rgb="FFFFFFFF"/>
      <name val="Aptos"/>
    </font>
    <font>
      <sz val="10"/>
      <color rgb="FF000000"/>
      <name val="Aptos"/>
    </font>
    <font>
      <b/>
      <sz val="11"/>
      <color rgb="FFFFFFFF"/>
      <name val="Aptos"/>
    </font>
    <font>
      <b/>
      <sz val="20"/>
      <color rgb="FF105057"/>
      <name val="Aptos"/>
    </font>
    <font>
      <b/>
      <sz val="20"/>
      <color rgb="FF400036"/>
      <name val="Aptos"/>
    </font>
    <font>
      <b/>
      <sz val="18"/>
      <color rgb="FF919151"/>
      <name val="Aptos"/>
    </font>
    <font>
      <b/>
      <sz val="11"/>
      <color rgb="FF400036"/>
      <name val="Aptos"/>
    </font>
    <font>
      <b/>
      <sz val="16"/>
      <color rgb="FF400036"/>
      <name val="Aptos"/>
    </font>
    <font>
      <sz val="9"/>
      <color rgb="FF000000"/>
      <name val="Aptos"/>
    </font>
    <font>
      <b/>
      <sz val="14"/>
      <color rgb="FFFFFFFF"/>
      <name val="Aptos"/>
    </font>
    <font>
      <b/>
      <sz val="12"/>
      <color rgb="FFFFFFFF"/>
      <name val="Aptos"/>
    </font>
    <font>
      <b/>
      <sz val="14"/>
      <color rgb="FFFFFFFF"/>
      <name val="Calibri"/>
    </font>
    <font>
      <sz val="10"/>
      <color rgb="FFFFFFFF"/>
      <name val="Calibri"/>
    </font>
    <font>
      <b/>
      <sz val="11"/>
      <color rgb="FFFFFFFF"/>
      <name val="Calibri"/>
    </font>
    <font>
      <b/>
      <sz val="11"/>
      <name val="Calibri"/>
    </font>
    <font>
      <i/>
      <sz val="10"/>
      <color rgb="FF400036"/>
      <name val="Calibri"/>
    </font>
    <font>
      <sz val="11"/>
      <color theme="1"/>
      <name val="Calibri"/>
      <family val="2"/>
      <scheme val="minor"/>
    </font>
    <font>
      <sz val="9"/>
      <color rgb="FFFF0000"/>
      <name val="Aptos"/>
      <family val="2"/>
    </font>
    <font>
      <b/>
      <sz val="11"/>
      <color rgb="FFFFFFFF"/>
      <name val="Aptos"/>
      <family val="2"/>
    </font>
    <font>
      <sz val="10"/>
      <color rgb="FF000000"/>
      <name val="Aptos"/>
      <family val="2"/>
    </font>
    <font>
      <sz val="10"/>
      <color rgb="FFFF0000"/>
      <name val="Aptos"/>
      <family val="2"/>
    </font>
    <font>
      <sz val="11"/>
      <color rgb="FFFF0000"/>
      <name val="Calibri"/>
      <family val="2"/>
      <scheme val="minor"/>
    </font>
  </fonts>
  <fills count="14">
    <fill>
      <patternFill patternType="none"/>
    </fill>
    <fill>
      <patternFill patternType="gray125"/>
    </fill>
    <fill>
      <patternFill patternType="solid">
        <fgColor rgb="FF105057"/>
      </patternFill>
    </fill>
    <fill>
      <patternFill patternType="solid">
        <fgColor rgb="FFF1F3F3"/>
      </patternFill>
    </fill>
    <fill>
      <patternFill patternType="solid">
        <fgColor rgb="FFEAF2F2"/>
      </patternFill>
    </fill>
    <fill>
      <patternFill patternType="solid">
        <fgColor rgb="FF400036"/>
      </patternFill>
    </fill>
    <fill>
      <patternFill patternType="solid">
        <fgColor rgb="FFFFFFFF"/>
      </patternFill>
    </fill>
    <fill>
      <patternFill patternType="solid">
        <fgColor rgb="FFEFE7EC"/>
      </patternFill>
    </fill>
    <fill>
      <patternFill patternType="solid">
        <fgColor rgb="FF919151"/>
      </patternFill>
    </fill>
    <fill>
      <patternFill patternType="solid">
        <fgColor rgb="FFEEF1E7"/>
      </patternFill>
    </fill>
    <fill>
      <patternFill patternType="solid">
        <fgColor rgb="FFFF81D0"/>
      </patternFill>
    </fill>
    <fill>
      <patternFill patternType="solid">
        <fgColor rgb="FFFBE7F4"/>
      </patternFill>
    </fill>
    <fill>
      <patternFill patternType="solid">
        <fgColor rgb="FF898C8B"/>
      </patternFill>
    </fill>
    <fill>
      <patternFill patternType="solid">
        <fgColor rgb="FFF3F7EF"/>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105057"/>
      </left>
      <right style="thin">
        <color rgb="FF105057"/>
      </right>
      <top style="thin">
        <color rgb="FF105057"/>
      </top>
      <bottom style="thin">
        <color rgb="FF105057"/>
      </bottom>
      <diagonal/>
    </border>
    <border>
      <left style="thin">
        <color rgb="FF898C8B"/>
      </left>
      <right style="thin">
        <color rgb="FF898C8B"/>
      </right>
      <top style="thin">
        <color rgb="FF898C8B"/>
      </top>
      <bottom style="thin">
        <color rgb="FF898C8B"/>
      </bottom>
      <diagonal/>
    </border>
    <border>
      <left/>
      <right/>
      <top style="thin">
        <color rgb="FF105057"/>
      </top>
      <bottom/>
      <diagonal/>
    </border>
    <border>
      <left style="thin">
        <color rgb="FF105057"/>
      </left>
      <right/>
      <top/>
      <bottom/>
      <diagonal/>
    </border>
    <border>
      <left/>
      <right style="thin">
        <color rgb="FF105057"/>
      </right>
      <top style="thin">
        <color rgb="FF105057"/>
      </top>
      <bottom/>
      <diagonal/>
    </border>
    <border>
      <left/>
      <right style="thin">
        <color rgb="FF105057"/>
      </right>
      <top/>
      <bottom/>
      <diagonal/>
    </border>
    <border>
      <left style="thin">
        <color rgb="FF105057"/>
      </left>
      <right/>
      <top/>
      <bottom style="thin">
        <color rgb="FF105057"/>
      </bottom>
      <diagonal/>
    </border>
    <border>
      <left/>
      <right/>
      <top/>
      <bottom style="thin">
        <color rgb="FF105057"/>
      </bottom>
      <diagonal/>
    </border>
    <border>
      <left/>
      <right style="thin">
        <color rgb="FF105057"/>
      </right>
      <top/>
      <bottom style="thin">
        <color rgb="FF105057"/>
      </bottom>
      <diagonal/>
    </border>
    <border>
      <left/>
      <right/>
      <top style="thin">
        <color rgb="FF105057"/>
      </top>
      <bottom style="thin">
        <color rgb="FF105057"/>
      </bottom>
      <diagonal/>
    </border>
    <border>
      <left/>
      <right style="thin">
        <color rgb="FF105057"/>
      </right>
      <top style="thin">
        <color rgb="FF105057"/>
      </top>
      <bottom style="thin">
        <color rgb="FF105057"/>
      </bottom>
      <diagonal/>
    </border>
    <border>
      <left/>
      <right/>
      <top style="thin">
        <color rgb="FF898C8B"/>
      </top>
      <bottom style="thin">
        <color rgb="FF898C8B"/>
      </bottom>
      <diagonal/>
    </border>
    <border>
      <left/>
      <right style="thin">
        <color rgb="FF898C8B"/>
      </right>
      <top style="thin">
        <color rgb="FF898C8B"/>
      </top>
      <bottom style="thin">
        <color rgb="FF898C8B"/>
      </bottom>
      <diagonal/>
    </border>
    <border>
      <left/>
      <right/>
      <top/>
      <bottom style="thin">
        <color rgb="FFD9D9D9"/>
      </bottom>
      <diagonal/>
    </border>
  </borders>
  <cellStyleXfs count="3">
    <xf numFmtId="0" fontId="0" fillId="0" borderId="0"/>
    <xf numFmtId="0" fontId="1" fillId="0" borderId="0"/>
    <xf numFmtId="0" fontId="18" fillId="0" borderId="0"/>
  </cellStyleXfs>
  <cellXfs count="65">
    <xf numFmtId="0" fontId="0" fillId="0" borderId="0" xfId="0"/>
    <xf numFmtId="0" fontId="0" fillId="0" borderId="1" xfId="2" applyFont="1" applyBorder="1" applyAlignment="1">
      <alignment vertical="top"/>
    </xf>
    <xf numFmtId="0" fontId="4" fillId="2" borderId="2" xfId="2" applyFont="1" applyFill="1" applyBorder="1" applyAlignment="1">
      <alignment horizontal="center" vertical="center" wrapText="1"/>
    </xf>
    <xf numFmtId="0" fontId="4" fillId="12" borderId="2" xfId="2" applyFont="1" applyFill="1" applyBorder="1" applyAlignment="1">
      <alignment horizontal="center" vertical="center" wrapText="1"/>
    </xf>
    <xf numFmtId="0" fontId="10" fillId="6" borderId="3" xfId="2" applyFont="1" applyFill="1" applyBorder="1" applyAlignment="1">
      <alignment horizontal="left" vertical="top" wrapText="1"/>
    </xf>
    <xf numFmtId="14" fontId="0" fillId="0" borderId="1" xfId="2" applyNumberFormat="1" applyFont="1" applyBorder="1" applyAlignment="1">
      <alignment vertical="top"/>
    </xf>
    <xf numFmtId="0" fontId="19" fillId="6" borderId="3" xfId="2" applyFont="1" applyFill="1" applyBorder="1" applyAlignment="1">
      <alignment horizontal="left" vertical="top" wrapText="1"/>
    </xf>
    <xf numFmtId="0" fontId="4" fillId="12" borderId="2" xfId="2" applyFont="1" applyFill="1" applyBorder="1" applyAlignment="1">
      <alignment horizontal="center" vertical="center"/>
    </xf>
    <xf numFmtId="0" fontId="3" fillId="6" borderId="3" xfId="2" applyFont="1" applyFill="1" applyBorder="1" applyAlignment="1">
      <alignment horizontal="left" vertical="top"/>
    </xf>
    <xf numFmtId="0" fontId="20" fillId="12" borderId="2" xfId="2" applyFont="1" applyFill="1" applyBorder="1" applyAlignment="1">
      <alignment horizontal="center" vertical="center"/>
    </xf>
    <xf numFmtId="0" fontId="21" fillId="6" borderId="3" xfId="2" applyFont="1" applyFill="1" applyBorder="1" applyAlignment="1">
      <alignment horizontal="left" vertical="top"/>
    </xf>
    <xf numFmtId="0" fontId="4" fillId="2" borderId="2" xfId="2" applyFont="1" applyFill="1" applyBorder="1" applyAlignment="1">
      <alignment horizontal="center" vertical="center"/>
    </xf>
    <xf numFmtId="0" fontId="1" fillId="0" borderId="1" xfId="1" applyBorder="1" applyAlignment="1">
      <alignment vertical="top"/>
    </xf>
    <xf numFmtId="14" fontId="0" fillId="0" borderId="0" xfId="2" applyNumberFormat="1" applyFont="1"/>
    <xf numFmtId="0" fontId="1" fillId="0" borderId="1" xfId="2" applyFont="1" applyBorder="1" applyAlignment="1">
      <alignment vertical="top"/>
    </xf>
    <xf numFmtId="0" fontId="0" fillId="0" borderId="0" xfId="0" applyAlignment="1">
      <alignment horizontal="center"/>
    </xf>
    <xf numFmtId="14" fontId="0" fillId="0" borderId="1" xfId="2" applyNumberFormat="1" applyFont="1" applyBorder="1" applyAlignment="1">
      <alignment horizontal="center" vertical="top"/>
    </xf>
    <xf numFmtId="0" fontId="4" fillId="2" borderId="2" xfId="2" applyFont="1" applyFill="1" applyBorder="1" applyAlignment="1">
      <alignment horizontal="left" vertical="center"/>
    </xf>
    <xf numFmtId="0" fontId="0" fillId="0" borderId="0" xfId="0" applyAlignment="1">
      <alignment horizontal="left"/>
    </xf>
    <xf numFmtId="0" fontId="0" fillId="0" borderId="1" xfId="2" applyFont="1" applyBorder="1" applyAlignment="1">
      <alignment horizontal="left" vertical="top"/>
    </xf>
    <xf numFmtId="14" fontId="0" fillId="0" borderId="1" xfId="2" applyNumberFormat="1" applyFont="1" applyBorder="1" applyAlignment="1">
      <alignment horizontal="left" vertical="top"/>
    </xf>
    <xf numFmtId="1" fontId="0" fillId="0" borderId="1" xfId="2" applyNumberFormat="1" applyFont="1" applyBorder="1" applyAlignment="1">
      <alignment horizontal="left" vertical="top"/>
    </xf>
    <xf numFmtId="14" fontId="0" fillId="0" borderId="0" xfId="2" applyNumberFormat="1" applyFont="1" applyAlignment="1">
      <alignment horizontal="left"/>
    </xf>
    <xf numFmtId="0" fontId="0" fillId="0" borderId="0" xfId="2" applyFont="1" applyAlignment="1">
      <alignment horizontal="left"/>
    </xf>
    <xf numFmtId="0" fontId="10" fillId="6" borderId="3" xfId="2" applyFont="1" applyFill="1" applyBorder="1" applyAlignment="1">
      <alignment horizontal="left" vertical="top"/>
    </xf>
    <xf numFmtId="0" fontId="10" fillId="6" borderId="3" xfId="2" applyFont="1" applyFill="1" applyBorder="1" applyAlignment="1">
      <alignment horizontal="center" vertical="top"/>
    </xf>
    <xf numFmtId="164" fontId="10" fillId="6" borderId="3" xfId="2" applyNumberFormat="1" applyFont="1" applyFill="1" applyBorder="1" applyAlignment="1">
      <alignment horizontal="center" vertical="top"/>
    </xf>
    <xf numFmtId="0" fontId="19" fillId="6" borderId="3" xfId="2" applyFont="1" applyFill="1" applyBorder="1" applyAlignment="1">
      <alignment horizontal="left" vertical="top"/>
    </xf>
    <xf numFmtId="0" fontId="23" fillId="0" borderId="0" xfId="0" applyFont="1"/>
    <xf numFmtId="0" fontId="10" fillId="0" borderId="3" xfId="2" applyFont="1" applyBorder="1" applyAlignment="1">
      <alignment horizontal="left" vertical="top"/>
    </xf>
    <xf numFmtId="0" fontId="2" fillId="2" borderId="2" xfId="2" applyFont="1" applyFill="1" applyBorder="1" applyAlignment="1">
      <alignment horizontal="center" vertical="center" wrapText="1"/>
    </xf>
    <xf numFmtId="0" fontId="3" fillId="4" borderId="3" xfId="2" applyFont="1" applyFill="1" applyBorder="1" applyAlignment="1">
      <alignment horizontal="center" vertical="center" wrapText="1"/>
    </xf>
    <xf numFmtId="0" fontId="4" fillId="5" borderId="2" xfId="2" applyFont="1" applyFill="1" applyBorder="1" applyAlignment="1">
      <alignment horizontal="center" vertical="center" wrapText="1"/>
    </xf>
    <xf numFmtId="0" fontId="3" fillId="3" borderId="3" xfId="2" applyFont="1" applyFill="1" applyBorder="1" applyAlignment="1">
      <alignment horizontal="left" vertical="center"/>
    </xf>
    <xf numFmtId="0" fontId="9" fillId="11" borderId="2" xfId="2" applyFont="1" applyFill="1" applyBorder="1" applyAlignment="1">
      <alignment horizontal="center" vertical="center" wrapText="1"/>
    </xf>
    <xf numFmtId="0" fontId="5" fillId="6" borderId="2" xfId="2" applyFont="1" applyFill="1" applyBorder="1" applyAlignment="1">
      <alignment horizontal="center" vertical="center" wrapText="1"/>
    </xf>
    <xf numFmtId="0" fontId="8" fillId="10" borderId="2"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6" fillId="7" borderId="2" xfId="2" applyFont="1" applyFill="1" applyBorder="1" applyAlignment="1">
      <alignment horizontal="center" vertical="center" wrapText="1"/>
    </xf>
    <xf numFmtId="0" fontId="3" fillId="3" borderId="2" xfId="2" applyFont="1" applyFill="1" applyBorder="1" applyAlignment="1">
      <alignment horizontal="left" vertical="top" wrapText="1"/>
    </xf>
    <xf numFmtId="164" fontId="7" fillId="9" borderId="2" xfId="2" applyNumberFormat="1" applyFont="1" applyFill="1" applyBorder="1" applyAlignment="1">
      <alignment horizontal="center" vertical="center" wrapText="1"/>
    </xf>
    <xf numFmtId="0" fontId="3" fillId="4" borderId="2" xfId="2" applyFont="1" applyFill="1" applyBorder="1" applyAlignment="1">
      <alignment horizontal="left" vertical="top" wrapText="1"/>
    </xf>
    <xf numFmtId="0" fontId="4" fillId="8" borderId="2" xfId="2" applyFont="1" applyFill="1" applyBorder="1" applyAlignment="1">
      <alignment horizontal="center" vertical="center" wrapText="1"/>
    </xf>
    <xf numFmtId="0" fontId="3" fillId="11" borderId="2" xfId="2" applyFont="1" applyFill="1" applyBorder="1" applyAlignment="1">
      <alignment horizontal="left" vertical="top" wrapText="1"/>
    </xf>
    <xf numFmtId="0" fontId="8" fillId="3" borderId="2" xfId="2" applyFont="1" applyFill="1" applyBorder="1" applyAlignment="1">
      <alignment horizontal="center" vertical="center" wrapText="1"/>
    </xf>
    <xf numFmtId="0" fontId="14" fillId="12" borderId="0" xfId="2" applyFont="1" applyFill="1" applyAlignment="1">
      <alignment horizontal="left" vertical="center"/>
    </xf>
    <xf numFmtId="0" fontId="13" fillId="2" borderId="0" xfId="2" applyFont="1" applyFill="1" applyAlignment="1">
      <alignment horizontal="center" vertical="center"/>
    </xf>
    <xf numFmtId="0" fontId="12" fillId="2" borderId="2" xfId="2" applyFont="1" applyFill="1" applyBorder="1" applyAlignment="1">
      <alignment horizontal="center" vertical="center"/>
    </xf>
    <xf numFmtId="0" fontId="11" fillId="2" borderId="2" xfId="2" applyFont="1" applyFill="1" applyBorder="1" applyAlignment="1">
      <alignment horizontal="center" vertical="center"/>
    </xf>
    <xf numFmtId="0" fontId="0" fillId="0" borderId="4" xfId="2" applyFont="1" applyBorder="1" applyAlignment="1"/>
    <xf numFmtId="0" fontId="0" fillId="0" borderId="6" xfId="2" applyFont="1" applyBorder="1" applyAlignment="1"/>
    <xf numFmtId="0" fontId="0" fillId="0" borderId="8" xfId="2" applyFont="1" applyBorder="1" applyAlignment="1"/>
    <xf numFmtId="0" fontId="0" fillId="0" borderId="9" xfId="2" applyFont="1" applyBorder="1" applyAlignment="1"/>
    <xf numFmtId="0" fontId="0" fillId="0" borderId="10" xfId="2" applyFont="1" applyBorder="1" applyAlignment="1"/>
    <xf numFmtId="0" fontId="0" fillId="0" borderId="13" xfId="2" applyFont="1" applyBorder="1" applyAlignment="1"/>
    <xf numFmtId="0" fontId="0" fillId="0" borderId="14" xfId="2" applyFont="1" applyBorder="1" applyAlignment="1"/>
    <xf numFmtId="0" fontId="0" fillId="0" borderId="11" xfId="2" applyFont="1" applyBorder="1" applyAlignment="1"/>
    <xf numFmtId="0" fontId="0" fillId="0" borderId="12" xfId="2" applyFont="1" applyBorder="1" applyAlignment="1"/>
    <xf numFmtId="0" fontId="0" fillId="0" borderId="5" xfId="2" applyFont="1" applyBorder="1" applyAlignment="1"/>
    <xf numFmtId="0" fontId="0" fillId="0" borderId="0" xfId="0" applyAlignment="1"/>
    <xf numFmtId="0" fontId="0" fillId="0" borderId="7" xfId="2" applyFont="1" applyBorder="1" applyAlignment="1"/>
    <xf numFmtId="0" fontId="15" fillId="8" borderId="15" xfId="2" applyFont="1" applyFill="1" applyBorder="1" applyAlignment="1">
      <alignment horizontal="center" vertical="center"/>
    </xf>
    <xf numFmtId="0" fontId="16" fillId="13" borderId="15" xfId="2" applyFont="1" applyFill="1" applyBorder="1" applyAlignment="1">
      <alignment horizontal="center" vertical="center"/>
    </xf>
    <xf numFmtId="0" fontId="17" fillId="0" borderId="15" xfId="2" applyFont="1" applyBorder="1" applyAlignment="1">
      <alignment horizontal="left" vertical="center"/>
    </xf>
    <xf numFmtId="0" fontId="0" fillId="0" borderId="15" xfId="2" applyFont="1" applyBorder="1" applyAlignment="1"/>
  </cellXfs>
  <cellStyles count="3">
    <cellStyle name="Hyperlink" xfId="1" xr:uid="{00000000-0005-0000-0000-000001000000}"/>
    <cellStyle name="ปกติ" xfId="0" builtinId="0"/>
    <cellStyle name="ปกติ 2" xfId="2"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1"/>
  <c:style val="2"/>
  <c:chart>
    <c:title>
      <c:tx>
        <c:rich>
          <a:bodyPr/>
          <a:lstStyle/>
          <a:p>
            <a:r>
              <a:t>None</a:t>
            </a:r>
          </a:p>
        </c:rich>
      </c:tx>
      <c:overlay val="0"/>
    </c:title>
    <c:autoTitleDeleted val="0"/>
    <c:plotArea>
      <c:layout/>
      <c:doughnutChart>
        <c:varyColors val="1"/>
        <c:ser>
          <c:idx val="0"/>
          <c:order val="0"/>
          <c:tx>
            <c:strRef>
              <c:f>Summary_Category!$B$2</c:f>
              <c:strCache>
                <c:ptCount val="1"/>
                <c:pt idx="0">
                  <c:v>Count</c:v>
                </c:pt>
              </c:strCache>
            </c:strRef>
          </c:tx>
          <c:spPr>
            <a:ln>
              <a:prstDash val="solid"/>
            </a:ln>
          </c:spPr>
          <c:dPt>
            <c:idx val="0"/>
            <c:bubble3D val="0"/>
            <c:spPr>
              <a:solidFill>
                <a:srgbClr val="105057"/>
              </a:solidFill>
              <a:ln>
                <a:prstDash val="solid"/>
              </a:ln>
            </c:spPr>
            <c:extLst>
              <c:ext xmlns:c16="http://schemas.microsoft.com/office/drawing/2014/chart" uri="{C3380CC4-5D6E-409C-BE32-E72D297353CC}">
                <c16:uniqueId val="{00000001-7E62-4631-A0E3-A71EBA850DB9}"/>
              </c:ext>
            </c:extLst>
          </c:dPt>
          <c:dPt>
            <c:idx val="1"/>
            <c:bubble3D val="0"/>
            <c:spPr>
              <a:solidFill>
                <a:srgbClr val="919151"/>
              </a:solidFill>
              <a:ln>
                <a:prstDash val="solid"/>
              </a:ln>
            </c:spPr>
            <c:extLst>
              <c:ext xmlns:c16="http://schemas.microsoft.com/office/drawing/2014/chart" uri="{C3380CC4-5D6E-409C-BE32-E72D297353CC}">
                <c16:uniqueId val="{00000003-7E62-4631-A0E3-A71EBA850DB9}"/>
              </c:ext>
            </c:extLst>
          </c:dPt>
          <c:dPt>
            <c:idx val="2"/>
            <c:bubble3D val="0"/>
            <c:spPr>
              <a:solidFill>
                <a:srgbClr val="898C8B"/>
              </a:solidFill>
              <a:ln>
                <a:prstDash val="solid"/>
              </a:ln>
            </c:spPr>
            <c:extLst>
              <c:ext xmlns:c16="http://schemas.microsoft.com/office/drawing/2014/chart" uri="{C3380CC4-5D6E-409C-BE32-E72D297353CC}">
                <c16:uniqueId val="{00000005-7E62-4631-A0E3-A71EBA850DB9}"/>
              </c:ext>
            </c:extLst>
          </c:dPt>
          <c:dPt>
            <c:idx val="3"/>
            <c:bubble3D val="0"/>
            <c:spPr>
              <a:solidFill>
                <a:srgbClr val="FF81D0"/>
              </a:solidFill>
              <a:ln>
                <a:prstDash val="solid"/>
              </a:ln>
            </c:spPr>
            <c:extLst>
              <c:ext xmlns:c16="http://schemas.microsoft.com/office/drawing/2014/chart" uri="{C3380CC4-5D6E-409C-BE32-E72D297353CC}">
                <c16:uniqueId val="{00000007-7E62-4631-A0E3-A71EBA850DB9}"/>
              </c:ext>
            </c:extLst>
          </c:dPt>
          <c:dPt>
            <c:idx val="4"/>
            <c:bubble3D val="0"/>
            <c:spPr>
              <a:solidFill>
                <a:srgbClr val="400036"/>
              </a:solidFill>
              <a:ln>
                <a:prstDash val="solid"/>
              </a:ln>
            </c:spPr>
            <c:extLst>
              <c:ext xmlns:c16="http://schemas.microsoft.com/office/drawing/2014/chart" uri="{C3380CC4-5D6E-409C-BE32-E72D297353CC}">
                <c16:uniqueId val="{00000009-7E62-4631-A0E3-A71EBA850DB9}"/>
              </c:ext>
            </c:extLst>
          </c:dPt>
          <c:dPt>
            <c:idx val="5"/>
            <c:bubble3D val="0"/>
            <c:spPr>
              <a:solidFill>
                <a:srgbClr val="5F6D3A"/>
              </a:solidFill>
              <a:ln>
                <a:prstDash val="solid"/>
              </a:ln>
            </c:spPr>
            <c:extLst>
              <c:ext xmlns:c16="http://schemas.microsoft.com/office/drawing/2014/chart" uri="{C3380CC4-5D6E-409C-BE32-E72D297353CC}">
                <c16:uniqueId val="{0000000B-7E62-4631-A0E3-A71EBA850DB9}"/>
              </c:ext>
            </c:extLst>
          </c:dPt>
          <c:dPt>
            <c:idx val="6"/>
            <c:bubble3D val="0"/>
            <c:spPr>
              <a:solidFill>
                <a:srgbClr val="B7B9B8"/>
              </a:solidFill>
              <a:ln>
                <a:prstDash val="solid"/>
              </a:ln>
            </c:spPr>
            <c:extLst>
              <c:ext xmlns:c16="http://schemas.microsoft.com/office/drawing/2014/chart" uri="{C3380CC4-5D6E-409C-BE32-E72D297353CC}">
                <c16:uniqueId val="{0000000D-7E62-4631-A0E3-A71EBA850DB9}"/>
              </c:ext>
            </c:extLst>
          </c:dPt>
          <c:dLbls>
            <c:spPr>
              <a:noFill/>
              <a:ln>
                <a:noFill/>
                <a:prstDash val="solid"/>
              </a:ln>
            </c:spPr>
            <c:txPr>
              <a:bodyPr anchorCtr="1"/>
              <a:lstStyle/>
              <a:p>
                <a:pPr>
                  <a:defRPr sz="1000" b="0" i="0">
                    <a:solidFill>
                      <a:schemeClr val="tx1"/>
                    </a:solidFill>
                    <a:latin typeface="+mn-lt"/>
                    <a:ea typeface="+mn-lt"/>
                    <a:cs typeface="+mn-lt"/>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Summary_Category!$A$3:$A$9</c:f>
              <c:strCache>
                <c:ptCount val="7"/>
                <c:pt idx="0">
                  <c:v>กฎหมายคุ้มครองแรงงาน</c:v>
                </c:pt>
                <c:pt idx="1">
                  <c:v>กฎหมายความปลอดภัย อาชีวอนามัย และสภาพแวดล้อมในการทำงาน</c:v>
                </c:pt>
                <c:pt idx="2">
                  <c:v>กฎหมายประกันสังคม</c:v>
                </c:pt>
                <c:pt idx="3">
                  <c:v>กฎหมายจัดหางาน</c:v>
                </c:pt>
                <c:pt idx="4">
                  <c:v>กฎหมายพัฒนาฝีมือแรงงาน</c:v>
                </c:pt>
                <c:pt idx="5">
                  <c:v>กฎหมาย อื่น ๆ</c:v>
                </c:pt>
                <c:pt idx="6">
                  <c:v>กฎหมายแรงงานสัมพันธ์</c:v>
                </c:pt>
              </c:strCache>
            </c:strRef>
          </c:cat>
          <c:val>
            <c:numRef>
              <c:f>Summary_Category!$B$3:$B$9</c:f>
              <c:numCache>
                <c:formatCode>General</c:formatCode>
                <c:ptCount val="7"/>
                <c:pt idx="0">
                  <c:v>28</c:v>
                </c:pt>
                <c:pt idx="1">
                  <c:v>17</c:v>
                </c:pt>
                <c:pt idx="2">
                  <c:v>15</c:v>
                </c:pt>
                <c:pt idx="3">
                  <c:v>6</c:v>
                </c:pt>
                <c:pt idx="4">
                  <c:v>5</c:v>
                </c:pt>
                <c:pt idx="5">
                  <c:v>2</c:v>
                </c:pt>
                <c:pt idx="6">
                  <c:v>1</c:v>
                </c:pt>
              </c:numCache>
            </c:numRef>
          </c:val>
          <c:extLst>
            <c:ext xmlns:c16="http://schemas.microsoft.com/office/drawing/2014/chart" uri="{C3380CC4-5D6E-409C-BE32-E72D297353CC}">
              <c16:uniqueId val="{0000000E-7E62-4631-A0E3-A71EBA850DB9}"/>
            </c:ext>
          </c:extLst>
        </c:ser>
        <c:dLbls>
          <c:showLegendKey val="0"/>
          <c:showVal val="0"/>
          <c:showCatName val="0"/>
          <c:showSerName val="0"/>
          <c:showPercent val="1"/>
          <c:showBubbleSize val="0"/>
          <c:showLeaderLines val="1"/>
        </c:dLbls>
        <c:firstSliceAng val="0"/>
        <c:holeSize val="50"/>
      </c:doughnutChart>
    </c:plotArea>
    <c:legend>
      <c:legendPos val="r"/>
      <c:overlay val="0"/>
      <c:spPr>
        <a:noFill/>
        <a:ln>
          <a:noFill/>
          <a:prstDash val="solid"/>
        </a:ln>
      </c:spPr>
      <c:txPr>
        <a:bodyPr rot="0" vert="horz" anchor="ctr" anchorCtr="1"/>
        <a:lstStyle/>
        <a:p>
          <a:pPr>
            <a:defRPr sz="800" b="0" i="0">
              <a:solidFill>
                <a:schemeClr val="tx1"/>
              </a:solidFill>
              <a:latin typeface="+mn-lt"/>
              <a:ea typeface="+mn-lt"/>
              <a:cs typeface="+mn-lt"/>
            </a:defRPr>
          </a:pPr>
          <a:endParaRPr lang="en-US"/>
        </a:p>
      </c:txPr>
    </c:legend>
    <c:plotVisOnly val="1"/>
    <c:dispBlanksAs val="gap"/>
    <c:showDLblsOverMax val="1"/>
  </c:chart>
  <c:spPr>
    <a:solidFill>
      <a:schemeClr val="bg1"/>
    </a:solidFill>
    <a:ln w="9525" cmpd="sng">
      <a:solidFill>
        <a:schemeClr val="tx1">
          <a:tint val="75000"/>
          <a:shade val="95000"/>
          <a:satMod val="105000"/>
        </a:schemeClr>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1"/>
  <c:style val="2"/>
  <c:chart>
    <c:title>
      <c:tx>
        <c:rich>
          <a:bodyPr/>
          <a:lstStyle/>
          <a:p>
            <a:r>
              <a:rPr sz="1000" b="1" i="0">
                <a:solidFill>
                  <a:schemeClr val="tx1"/>
                </a:solidFill>
                <a:latin typeface="+mn-lt"/>
                <a:ea typeface="+mn-lt"/>
                <a:cs typeface="+mn-lt"/>
              </a:rPr>
              <a:t>Implementation Status by Category</a:t>
            </a:r>
          </a:p>
        </c:rich>
      </c:tx>
      <c:overlay val="0"/>
    </c:title>
    <c:autoTitleDeleted val="0"/>
    <c:plotArea>
      <c:layout/>
      <c:barChart>
        <c:barDir val="bar"/>
        <c:grouping val="stacked"/>
        <c:varyColors val="1"/>
        <c:ser>
          <c:idx val="0"/>
          <c:order val="0"/>
          <c:tx>
            <c:strRef>
              <c:f>Summary_Category!$E$2</c:f>
              <c:strCache>
                <c:ptCount val="1"/>
                <c:pt idx="0">
                  <c:v>Implemented</c:v>
                </c:pt>
              </c:strCache>
            </c:strRef>
          </c:tx>
          <c:spPr>
            <a:solidFill>
              <a:srgbClr val="919151"/>
            </a:solidFill>
            <a:ln>
              <a:prstDash val="solid"/>
            </a:ln>
          </c:spPr>
          <c:invertIfNegative val="1"/>
          <c:cat>
            <c:strRef>
              <c:f>Summary_Category!$A$3:$A$9</c:f>
              <c:strCache>
                <c:ptCount val="7"/>
                <c:pt idx="0">
                  <c:v>กฎหมายคุ้มครองแรงงาน</c:v>
                </c:pt>
                <c:pt idx="1">
                  <c:v>กฎหมายความปลอดภัย อาชีวอนามัย และสภาพแวดล้อมในการทำงาน</c:v>
                </c:pt>
                <c:pt idx="2">
                  <c:v>กฎหมายประกันสังคม</c:v>
                </c:pt>
                <c:pt idx="3">
                  <c:v>กฎหมายจัดหางาน</c:v>
                </c:pt>
                <c:pt idx="4">
                  <c:v>กฎหมายพัฒนาฝีมือแรงงาน</c:v>
                </c:pt>
                <c:pt idx="5">
                  <c:v>กฎหมาย อื่น ๆ</c:v>
                </c:pt>
                <c:pt idx="6">
                  <c:v>กฎหมายแรงงานสัมพันธ์</c:v>
                </c:pt>
              </c:strCache>
            </c:strRef>
          </c:cat>
          <c:val>
            <c:numRef>
              <c:f>Summary_Category!$E$3:$E$9</c:f>
              <c:numCache>
                <c:formatCode>General</c:formatCode>
                <c:ptCount val="7"/>
                <c:pt idx="0">
                  <c:v>25</c:v>
                </c:pt>
                <c:pt idx="1">
                  <c:v>17</c:v>
                </c:pt>
                <c:pt idx="2">
                  <c:v>14</c:v>
                </c:pt>
                <c:pt idx="3">
                  <c:v>6</c:v>
                </c:pt>
                <c:pt idx="4">
                  <c:v>5</c:v>
                </c:pt>
                <c:pt idx="5">
                  <c:v>1</c:v>
                </c:pt>
                <c:pt idx="6">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AA8-4A2C-87FE-CE461D2DE674}"/>
            </c:ext>
          </c:extLst>
        </c:ser>
        <c:ser>
          <c:idx val="1"/>
          <c:order val="1"/>
          <c:tx>
            <c:strRef>
              <c:f>Summary_Category!$F$2</c:f>
              <c:strCache>
                <c:ptCount val="1"/>
                <c:pt idx="0">
                  <c:v>Under Review</c:v>
                </c:pt>
              </c:strCache>
            </c:strRef>
          </c:tx>
          <c:spPr>
            <a:solidFill>
              <a:srgbClr val="400036"/>
            </a:solidFill>
            <a:ln>
              <a:prstDash val="solid"/>
            </a:ln>
          </c:spPr>
          <c:invertIfNegative val="1"/>
          <c:cat>
            <c:strRef>
              <c:f>Summary_Category!$A$3:$A$9</c:f>
              <c:strCache>
                <c:ptCount val="7"/>
                <c:pt idx="0">
                  <c:v>กฎหมายคุ้มครองแรงงาน</c:v>
                </c:pt>
                <c:pt idx="1">
                  <c:v>กฎหมายความปลอดภัย อาชีวอนามัย และสภาพแวดล้อมในการทำงาน</c:v>
                </c:pt>
                <c:pt idx="2">
                  <c:v>กฎหมายประกันสังคม</c:v>
                </c:pt>
                <c:pt idx="3">
                  <c:v>กฎหมายจัดหางาน</c:v>
                </c:pt>
                <c:pt idx="4">
                  <c:v>กฎหมายพัฒนาฝีมือแรงงาน</c:v>
                </c:pt>
                <c:pt idx="5">
                  <c:v>กฎหมาย อื่น ๆ</c:v>
                </c:pt>
                <c:pt idx="6">
                  <c:v>กฎหมายแรงงานสัมพันธ์</c:v>
                </c:pt>
              </c:strCache>
            </c:strRef>
          </c:cat>
          <c:val>
            <c:numRef>
              <c:f>Summary_Category!$F$3:$F$9</c:f>
              <c:numCache>
                <c:formatCode>General</c:formatCode>
                <c:ptCount val="7"/>
                <c:pt idx="0">
                  <c:v>0</c:v>
                </c:pt>
                <c:pt idx="1">
                  <c:v>0</c:v>
                </c:pt>
                <c:pt idx="2">
                  <c:v>1</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AA8-4A2C-87FE-CE461D2DE674}"/>
            </c:ext>
          </c:extLst>
        </c:ser>
        <c:ser>
          <c:idx val="2"/>
          <c:order val="2"/>
          <c:tx>
            <c:strRef>
              <c:f>Summary_Category!$G$2</c:f>
              <c:strCache>
                <c:ptCount val="1"/>
                <c:pt idx="0">
                  <c:v>Evaluated</c:v>
                </c:pt>
              </c:strCache>
            </c:strRef>
          </c:tx>
          <c:spPr>
            <a:solidFill>
              <a:srgbClr val="FF81D0"/>
            </a:solidFill>
            <a:ln>
              <a:prstDash val="solid"/>
            </a:ln>
          </c:spPr>
          <c:invertIfNegative val="1"/>
          <c:cat>
            <c:strRef>
              <c:f>Summary_Category!$A$3:$A$9</c:f>
              <c:strCache>
                <c:ptCount val="7"/>
                <c:pt idx="0">
                  <c:v>กฎหมายคุ้มครองแรงงาน</c:v>
                </c:pt>
                <c:pt idx="1">
                  <c:v>กฎหมายความปลอดภัย อาชีวอนามัย และสภาพแวดล้อมในการทำงาน</c:v>
                </c:pt>
                <c:pt idx="2">
                  <c:v>กฎหมายประกันสังคม</c:v>
                </c:pt>
                <c:pt idx="3">
                  <c:v>กฎหมายจัดหางาน</c:v>
                </c:pt>
                <c:pt idx="4">
                  <c:v>กฎหมายพัฒนาฝีมือแรงงาน</c:v>
                </c:pt>
                <c:pt idx="5">
                  <c:v>กฎหมาย อื่น ๆ</c:v>
                </c:pt>
                <c:pt idx="6">
                  <c:v>กฎหมายแรงงานสัมพันธ์</c:v>
                </c:pt>
              </c:strCache>
            </c:strRef>
          </c:cat>
          <c:val>
            <c:numRef>
              <c:f>Summary_Category!$G$3:$G$9</c:f>
              <c:numCache>
                <c:formatCode>General</c:formatCode>
                <c:ptCount val="7"/>
                <c:pt idx="0">
                  <c:v>3</c:v>
                </c:pt>
                <c:pt idx="1">
                  <c:v>0</c:v>
                </c:pt>
                <c:pt idx="2">
                  <c:v>0</c:v>
                </c:pt>
                <c:pt idx="3">
                  <c:v>0</c:v>
                </c:pt>
                <c:pt idx="4">
                  <c:v>0</c:v>
                </c:pt>
                <c:pt idx="5">
                  <c:v>1</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FAA8-4A2C-87FE-CE461D2DE674}"/>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1"/>
        <c:axPos val="l"/>
        <c:title>
          <c:tx>
            <c:rich>
              <a:bodyPr/>
              <a:lstStyle/>
              <a:p>
                <a:r>
                  <a:t>Count</a:t>
                </a:r>
              </a:p>
            </c:rich>
          </c:tx>
          <c:overlay val="1"/>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majorGridlines>
          <c:spPr>
            <a:ln w="9525" cmpd="sng">
              <a:solidFill>
                <a:schemeClr val="tx1">
                  <a:shade val="95000"/>
                  <a:satMod val="105000"/>
                </a:schemeClr>
              </a:solidFill>
              <a:prstDash val="solid"/>
            </a:ln>
          </c:spPr>
        </c:majorGridlines>
        <c:title>
          <c:tx>
            <c:rich>
              <a:bodyPr/>
              <a:lstStyle/>
              <a:p>
                <a:r>
                  <a:t>Category</a:t>
                </a:r>
              </a:p>
            </c:rich>
          </c:tx>
          <c:overlay val="1"/>
        </c:title>
        <c:numFmt formatCode="General" sourceLinked="1"/>
        <c:majorTickMark val="none"/>
        <c:minorTickMark val="none"/>
        <c:tickLblPos val="nextTo"/>
        <c:crossAx val="48650112"/>
        <c:crosses val="autoZero"/>
        <c:crossBetween val="between"/>
      </c:valAx>
    </c:plotArea>
    <c:legend>
      <c:legendPos val="r"/>
      <c:overlay val="1"/>
      <c:spPr>
        <a:noFill/>
        <a:ln>
          <a:noFill/>
          <a:prstDash val="solid"/>
        </a:ln>
      </c:spPr>
      <c:txPr>
        <a:bodyPr rot="0" vert="horz" anchor="ctr" anchorCtr="1"/>
        <a:lstStyle/>
        <a:p>
          <a:pPr>
            <a:defRPr sz="1000" b="0" i="0">
              <a:solidFill>
                <a:schemeClr val="tx1"/>
              </a:solidFill>
              <a:latin typeface="+mn-lt"/>
              <a:ea typeface="+mn-lt"/>
              <a:cs typeface="+mn-lt"/>
            </a:defRPr>
          </a:pPr>
          <a:endParaRPr lang="en-US"/>
        </a:p>
      </c:txPr>
    </c:legend>
    <c:plotVisOnly val="1"/>
    <c:dispBlanksAs val="gap"/>
    <c:showDLblsOverMax val="1"/>
  </c:chart>
  <c:spPr>
    <a:solidFill>
      <a:schemeClr val="bg1"/>
    </a:solidFill>
    <a:ln w="9525" cmpd="sng">
      <a:solidFill>
        <a:schemeClr val="tx1">
          <a:tint val="75000"/>
          <a:shade val="95000"/>
          <a:satMod val="105000"/>
        </a:schemeClr>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1"/>
  <c:style val="2"/>
  <c:chart>
    <c:title>
      <c:tx>
        <c:rich>
          <a:bodyPr/>
          <a:lstStyle/>
          <a:p>
            <a:r>
              <a:rPr sz="1000" b="1" i="0">
                <a:solidFill>
                  <a:schemeClr val="tx1"/>
                </a:solidFill>
                <a:latin typeface="+mn-lt"/>
                <a:ea typeface="+mn-lt"/>
                <a:cs typeface="+mn-lt"/>
              </a:rPr>
              <a:t>Monthly Trend</a:t>
            </a:r>
          </a:p>
        </c:rich>
      </c:tx>
      <c:overlay val="0"/>
    </c:title>
    <c:autoTitleDeleted val="0"/>
    <c:plotArea>
      <c:layout/>
      <c:barChart>
        <c:barDir val="col"/>
        <c:grouping val="clustered"/>
        <c:varyColors val="1"/>
        <c:ser>
          <c:idx val="0"/>
          <c:order val="0"/>
          <c:tx>
            <c:strRef>
              <c:f>Summary_Trend!$E$2</c:f>
              <c:strCache>
                <c:ptCount val="1"/>
                <c:pt idx="0">
                  <c:v>Count</c:v>
                </c:pt>
              </c:strCache>
            </c:strRef>
          </c:tx>
          <c:spPr>
            <a:solidFill>
              <a:srgbClr val="FF81D0"/>
            </a:solidFill>
            <a:ln>
              <a:prstDash val="solid"/>
            </a:ln>
          </c:spPr>
          <c:invertIfNegative val="0"/>
          <c:dPt>
            <c:idx val="0"/>
            <c:invertIfNegative val="1"/>
            <c:bubble3D val="0"/>
            <c:spPr>
              <a:solidFill>
                <a:schemeClr val="accent6">
                  <a:shade val="33000"/>
                </a:schemeClr>
              </a:solidFill>
              <a:ln>
                <a:noFill/>
                <a:prstDash val="solid"/>
              </a:ln>
            </c:spPr>
            <c:extLst>
              <c:ext xmlns:c16="http://schemas.microsoft.com/office/drawing/2014/chart" uri="{C3380CC4-5D6E-409C-BE32-E72D297353CC}">
                <c16:uniqueId val="{00000001-7867-4980-959E-A70D4D352C67}"/>
              </c:ext>
            </c:extLst>
          </c:dPt>
          <c:dPt>
            <c:idx val="1"/>
            <c:invertIfNegative val="1"/>
            <c:bubble3D val="0"/>
            <c:spPr>
              <a:solidFill>
                <a:schemeClr val="accent6">
                  <a:shade val="37000"/>
                </a:schemeClr>
              </a:solidFill>
              <a:ln>
                <a:noFill/>
                <a:prstDash val="solid"/>
              </a:ln>
            </c:spPr>
            <c:extLst>
              <c:ext xmlns:c16="http://schemas.microsoft.com/office/drawing/2014/chart" uri="{C3380CC4-5D6E-409C-BE32-E72D297353CC}">
                <c16:uniqueId val="{00000003-7867-4980-959E-A70D4D352C67}"/>
              </c:ext>
            </c:extLst>
          </c:dPt>
          <c:dPt>
            <c:idx val="2"/>
            <c:invertIfNegative val="1"/>
            <c:bubble3D val="0"/>
            <c:spPr>
              <a:solidFill>
                <a:schemeClr val="accent6">
                  <a:shade val="41000"/>
                </a:schemeClr>
              </a:solidFill>
              <a:ln>
                <a:noFill/>
                <a:prstDash val="solid"/>
              </a:ln>
            </c:spPr>
            <c:extLst>
              <c:ext xmlns:c16="http://schemas.microsoft.com/office/drawing/2014/chart" uri="{C3380CC4-5D6E-409C-BE32-E72D297353CC}">
                <c16:uniqueId val="{00000005-7867-4980-959E-A70D4D352C67}"/>
              </c:ext>
            </c:extLst>
          </c:dPt>
          <c:dPt>
            <c:idx val="3"/>
            <c:invertIfNegative val="1"/>
            <c:bubble3D val="0"/>
            <c:spPr>
              <a:solidFill>
                <a:schemeClr val="accent6">
                  <a:shade val="45000"/>
                </a:schemeClr>
              </a:solidFill>
              <a:ln>
                <a:noFill/>
                <a:prstDash val="solid"/>
              </a:ln>
            </c:spPr>
            <c:extLst>
              <c:ext xmlns:c16="http://schemas.microsoft.com/office/drawing/2014/chart" uri="{C3380CC4-5D6E-409C-BE32-E72D297353CC}">
                <c16:uniqueId val="{00000007-7867-4980-959E-A70D4D352C67}"/>
              </c:ext>
            </c:extLst>
          </c:dPt>
          <c:dPt>
            <c:idx val="4"/>
            <c:invertIfNegative val="1"/>
            <c:bubble3D val="0"/>
            <c:spPr>
              <a:solidFill>
                <a:schemeClr val="accent6">
                  <a:shade val="49000"/>
                </a:schemeClr>
              </a:solidFill>
              <a:ln>
                <a:noFill/>
                <a:prstDash val="solid"/>
              </a:ln>
            </c:spPr>
            <c:extLst>
              <c:ext xmlns:c16="http://schemas.microsoft.com/office/drawing/2014/chart" uri="{C3380CC4-5D6E-409C-BE32-E72D297353CC}">
                <c16:uniqueId val="{00000009-7867-4980-959E-A70D4D352C67}"/>
              </c:ext>
            </c:extLst>
          </c:dPt>
          <c:dPt>
            <c:idx val="5"/>
            <c:invertIfNegative val="1"/>
            <c:bubble3D val="0"/>
            <c:spPr>
              <a:solidFill>
                <a:schemeClr val="accent6">
                  <a:shade val="53000"/>
                </a:schemeClr>
              </a:solidFill>
              <a:ln>
                <a:noFill/>
                <a:prstDash val="solid"/>
              </a:ln>
            </c:spPr>
            <c:extLst>
              <c:ext xmlns:c16="http://schemas.microsoft.com/office/drawing/2014/chart" uri="{C3380CC4-5D6E-409C-BE32-E72D297353CC}">
                <c16:uniqueId val="{0000000B-7867-4980-959E-A70D4D352C67}"/>
              </c:ext>
            </c:extLst>
          </c:dPt>
          <c:dPt>
            <c:idx val="6"/>
            <c:invertIfNegative val="1"/>
            <c:bubble3D val="0"/>
            <c:spPr>
              <a:solidFill>
                <a:schemeClr val="accent6">
                  <a:shade val="57000"/>
                </a:schemeClr>
              </a:solidFill>
              <a:ln>
                <a:noFill/>
                <a:prstDash val="solid"/>
              </a:ln>
            </c:spPr>
            <c:extLst>
              <c:ext xmlns:c16="http://schemas.microsoft.com/office/drawing/2014/chart" uri="{C3380CC4-5D6E-409C-BE32-E72D297353CC}">
                <c16:uniqueId val="{0000000D-7867-4980-959E-A70D4D352C67}"/>
              </c:ext>
            </c:extLst>
          </c:dPt>
          <c:dPt>
            <c:idx val="7"/>
            <c:invertIfNegative val="1"/>
            <c:bubble3D val="0"/>
            <c:spPr>
              <a:solidFill>
                <a:schemeClr val="accent6">
                  <a:shade val="61000"/>
                </a:schemeClr>
              </a:solidFill>
              <a:ln>
                <a:noFill/>
                <a:prstDash val="solid"/>
              </a:ln>
            </c:spPr>
            <c:extLst>
              <c:ext xmlns:c16="http://schemas.microsoft.com/office/drawing/2014/chart" uri="{C3380CC4-5D6E-409C-BE32-E72D297353CC}">
                <c16:uniqueId val="{0000000F-7867-4980-959E-A70D4D352C67}"/>
              </c:ext>
            </c:extLst>
          </c:dPt>
          <c:dPt>
            <c:idx val="8"/>
            <c:invertIfNegative val="1"/>
            <c:bubble3D val="0"/>
            <c:spPr>
              <a:solidFill>
                <a:schemeClr val="accent6">
                  <a:shade val="65000"/>
                </a:schemeClr>
              </a:solidFill>
              <a:ln>
                <a:noFill/>
                <a:prstDash val="solid"/>
              </a:ln>
            </c:spPr>
            <c:extLst>
              <c:ext xmlns:c16="http://schemas.microsoft.com/office/drawing/2014/chart" uri="{C3380CC4-5D6E-409C-BE32-E72D297353CC}">
                <c16:uniqueId val="{00000011-7867-4980-959E-A70D4D352C67}"/>
              </c:ext>
            </c:extLst>
          </c:dPt>
          <c:dPt>
            <c:idx val="9"/>
            <c:invertIfNegative val="1"/>
            <c:bubble3D val="0"/>
            <c:spPr>
              <a:solidFill>
                <a:schemeClr val="accent6">
                  <a:shade val="68000"/>
                </a:schemeClr>
              </a:solidFill>
              <a:ln>
                <a:noFill/>
                <a:prstDash val="solid"/>
              </a:ln>
            </c:spPr>
            <c:extLst>
              <c:ext xmlns:c16="http://schemas.microsoft.com/office/drawing/2014/chart" uri="{C3380CC4-5D6E-409C-BE32-E72D297353CC}">
                <c16:uniqueId val="{00000013-7867-4980-959E-A70D4D352C67}"/>
              </c:ext>
            </c:extLst>
          </c:dPt>
          <c:dPt>
            <c:idx val="10"/>
            <c:invertIfNegative val="1"/>
            <c:bubble3D val="0"/>
            <c:spPr>
              <a:solidFill>
                <a:schemeClr val="accent6">
                  <a:shade val="72000"/>
                </a:schemeClr>
              </a:solidFill>
              <a:ln>
                <a:noFill/>
                <a:prstDash val="solid"/>
              </a:ln>
            </c:spPr>
            <c:extLst>
              <c:ext xmlns:c16="http://schemas.microsoft.com/office/drawing/2014/chart" uri="{C3380CC4-5D6E-409C-BE32-E72D297353CC}">
                <c16:uniqueId val="{00000015-7867-4980-959E-A70D4D352C67}"/>
              </c:ext>
            </c:extLst>
          </c:dPt>
          <c:dPt>
            <c:idx val="11"/>
            <c:invertIfNegative val="1"/>
            <c:bubble3D val="0"/>
            <c:spPr>
              <a:solidFill>
                <a:schemeClr val="accent6">
                  <a:shade val="76000"/>
                </a:schemeClr>
              </a:solidFill>
              <a:ln>
                <a:noFill/>
                <a:prstDash val="solid"/>
              </a:ln>
            </c:spPr>
            <c:extLst>
              <c:ext xmlns:c16="http://schemas.microsoft.com/office/drawing/2014/chart" uri="{C3380CC4-5D6E-409C-BE32-E72D297353CC}">
                <c16:uniqueId val="{00000017-7867-4980-959E-A70D4D352C67}"/>
              </c:ext>
            </c:extLst>
          </c:dPt>
          <c:dPt>
            <c:idx val="12"/>
            <c:invertIfNegative val="1"/>
            <c:bubble3D val="0"/>
            <c:spPr>
              <a:solidFill>
                <a:schemeClr val="accent6">
                  <a:shade val="80000"/>
                </a:schemeClr>
              </a:solidFill>
              <a:ln>
                <a:noFill/>
                <a:prstDash val="solid"/>
              </a:ln>
            </c:spPr>
            <c:extLst>
              <c:ext xmlns:c16="http://schemas.microsoft.com/office/drawing/2014/chart" uri="{C3380CC4-5D6E-409C-BE32-E72D297353CC}">
                <c16:uniqueId val="{00000019-7867-4980-959E-A70D4D352C67}"/>
              </c:ext>
            </c:extLst>
          </c:dPt>
          <c:dPt>
            <c:idx val="13"/>
            <c:invertIfNegative val="1"/>
            <c:bubble3D val="0"/>
            <c:spPr>
              <a:solidFill>
                <a:schemeClr val="accent6">
                  <a:shade val="84000"/>
                </a:schemeClr>
              </a:solidFill>
              <a:ln>
                <a:noFill/>
                <a:prstDash val="solid"/>
              </a:ln>
            </c:spPr>
            <c:extLst>
              <c:ext xmlns:c16="http://schemas.microsoft.com/office/drawing/2014/chart" uri="{C3380CC4-5D6E-409C-BE32-E72D297353CC}">
                <c16:uniqueId val="{0000001B-7867-4980-959E-A70D4D352C67}"/>
              </c:ext>
            </c:extLst>
          </c:dPt>
          <c:dPt>
            <c:idx val="14"/>
            <c:invertIfNegative val="1"/>
            <c:bubble3D val="0"/>
            <c:spPr>
              <a:solidFill>
                <a:schemeClr val="accent6">
                  <a:shade val="88000"/>
                </a:schemeClr>
              </a:solidFill>
              <a:ln>
                <a:noFill/>
                <a:prstDash val="solid"/>
              </a:ln>
            </c:spPr>
            <c:extLst>
              <c:ext xmlns:c16="http://schemas.microsoft.com/office/drawing/2014/chart" uri="{C3380CC4-5D6E-409C-BE32-E72D297353CC}">
                <c16:uniqueId val="{0000001D-7867-4980-959E-A70D4D352C67}"/>
              </c:ext>
            </c:extLst>
          </c:dPt>
          <c:dPt>
            <c:idx val="15"/>
            <c:invertIfNegative val="1"/>
            <c:bubble3D val="0"/>
            <c:spPr>
              <a:solidFill>
                <a:schemeClr val="accent6">
                  <a:shade val="92000"/>
                </a:schemeClr>
              </a:solidFill>
              <a:ln>
                <a:noFill/>
                <a:prstDash val="solid"/>
              </a:ln>
            </c:spPr>
            <c:extLst>
              <c:ext xmlns:c16="http://schemas.microsoft.com/office/drawing/2014/chart" uri="{C3380CC4-5D6E-409C-BE32-E72D297353CC}">
                <c16:uniqueId val="{0000001F-7867-4980-959E-A70D4D352C67}"/>
              </c:ext>
            </c:extLst>
          </c:dPt>
          <c:dPt>
            <c:idx val="16"/>
            <c:invertIfNegative val="1"/>
            <c:bubble3D val="0"/>
            <c:spPr>
              <a:solidFill>
                <a:schemeClr val="accent6">
                  <a:shade val="96000"/>
                </a:schemeClr>
              </a:solidFill>
              <a:ln>
                <a:noFill/>
                <a:prstDash val="solid"/>
              </a:ln>
            </c:spPr>
            <c:extLst>
              <c:ext xmlns:c16="http://schemas.microsoft.com/office/drawing/2014/chart" uri="{C3380CC4-5D6E-409C-BE32-E72D297353CC}">
                <c16:uniqueId val="{00000021-7867-4980-959E-A70D4D352C67}"/>
              </c:ext>
            </c:extLst>
          </c:dPt>
          <c:dPt>
            <c:idx val="17"/>
            <c:invertIfNegative val="1"/>
            <c:bubble3D val="0"/>
            <c:spPr>
              <a:solidFill>
                <a:schemeClr val="accent6"/>
              </a:solidFill>
              <a:ln>
                <a:noFill/>
                <a:prstDash val="solid"/>
              </a:ln>
            </c:spPr>
            <c:extLst>
              <c:ext xmlns:c16="http://schemas.microsoft.com/office/drawing/2014/chart" uri="{C3380CC4-5D6E-409C-BE32-E72D297353CC}">
                <c16:uniqueId val="{00000023-7867-4980-959E-A70D4D352C67}"/>
              </c:ext>
            </c:extLst>
          </c:dPt>
          <c:dPt>
            <c:idx val="18"/>
            <c:invertIfNegative val="1"/>
            <c:bubble3D val="0"/>
            <c:spPr>
              <a:solidFill>
                <a:schemeClr val="accent6">
                  <a:tint val="97000"/>
                </a:schemeClr>
              </a:solidFill>
              <a:ln>
                <a:noFill/>
                <a:prstDash val="solid"/>
              </a:ln>
            </c:spPr>
            <c:extLst>
              <c:ext xmlns:c16="http://schemas.microsoft.com/office/drawing/2014/chart" uri="{C3380CC4-5D6E-409C-BE32-E72D297353CC}">
                <c16:uniqueId val="{00000025-7867-4980-959E-A70D4D352C67}"/>
              </c:ext>
            </c:extLst>
          </c:dPt>
          <c:dPt>
            <c:idx val="19"/>
            <c:invertIfNegative val="1"/>
            <c:bubble3D val="0"/>
            <c:spPr>
              <a:solidFill>
                <a:schemeClr val="accent6">
                  <a:tint val="93000"/>
                </a:schemeClr>
              </a:solidFill>
              <a:ln>
                <a:noFill/>
                <a:prstDash val="solid"/>
              </a:ln>
            </c:spPr>
            <c:extLst>
              <c:ext xmlns:c16="http://schemas.microsoft.com/office/drawing/2014/chart" uri="{C3380CC4-5D6E-409C-BE32-E72D297353CC}">
                <c16:uniqueId val="{00000027-7867-4980-959E-A70D4D352C67}"/>
              </c:ext>
            </c:extLst>
          </c:dPt>
          <c:dPt>
            <c:idx val="20"/>
            <c:invertIfNegative val="1"/>
            <c:bubble3D val="0"/>
            <c:spPr>
              <a:solidFill>
                <a:schemeClr val="accent6">
                  <a:tint val="89000"/>
                </a:schemeClr>
              </a:solidFill>
              <a:ln>
                <a:noFill/>
                <a:prstDash val="solid"/>
              </a:ln>
            </c:spPr>
            <c:extLst>
              <c:ext xmlns:c16="http://schemas.microsoft.com/office/drawing/2014/chart" uri="{C3380CC4-5D6E-409C-BE32-E72D297353CC}">
                <c16:uniqueId val="{00000029-7867-4980-959E-A70D4D352C67}"/>
              </c:ext>
            </c:extLst>
          </c:dPt>
          <c:dPt>
            <c:idx val="21"/>
            <c:invertIfNegative val="1"/>
            <c:bubble3D val="0"/>
            <c:spPr>
              <a:solidFill>
                <a:schemeClr val="accent6">
                  <a:tint val="85000"/>
                </a:schemeClr>
              </a:solidFill>
              <a:ln>
                <a:noFill/>
                <a:prstDash val="solid"/>
              </a:ln>
            </c:spPr>
            <c:extLst>
              <c:ext xmlns:c16="http://schemas.microsoft.com/office/drawing/2014/chart" uri="{C3380CC4-5D6E-409C-BE32-E72D297353CC}">
                <c16:uniqueId val="{0000002B-7867-4980-959E-A70D4D352C67}"/>
              </c:ext>
            </c:extLst>
          </c:dPt>
          <c:dPt>
            <c:idx val="22"/>
            <c:invertIfNegative val="1"/>
            <c:bubble3D val="0"/>
            <c:spPr>
              <a:solidFill>
                <a:schemeClr val="accent6">
                  <a:tint val="81000"/>
                </a:schemeClr>
              </a:solidFill>
              <a:ln>
                <a:noFill/>
                <a:prstDash val="solid"/>
              </a:ln>
            </c:spPr>
            <c:extLst>
              <c:ext xmlns:c16="http://schemas.microsoft.com/office/drawing/2014/chart" uri="{C3380CC4-5D6E-409C-BE32-E72D297353CC}">
                <c16:uniqueId val="{0000002D-7867-4980-959E-A70D4D352C67}"/>
              </c:ext>
            </c:extLst>
          </c:dPt>
          <c:dPt>
            <c:idx val="23"/>
            <c:invertIfNegative val="1"/>
            <c:bubble3D val="0"/>
            <c:spPr>
              <a:solidFill>
                <a:schemeClr val="accent6">
                  <a:tint val="77000"/>
                </a:schemeClr>
              </a:solidFill>
              <a:ln>
                <a:noFill/>
                <a:prstDash val="solid"/>
              </a:ln>
            </c:spPr>
            <c:extLst>
              <c:ext xmlns:c16="http://schemas.microsoft.com/office/drawing/2014/chart" uri="{C3380CC4-5D6E-409C-BE32-E72D297353CC}">
                <c16:uniqueId val="{0000002F-7867-4980-959E-A70D4D352C67}"/>
              </c:ext>
            </c:extLst>
          </c:dPt>
          <c:dPt>
            <c:idx val="24"/>
            <c:invertIfNegative val="1"/>
            <c:bubble3D val="0"/>
            <c:spPr>
              <a:solidFill>
                <a:schemeClr val="accent6">
                  <a:tint val="73000"/>
                </a:schemeClr>
              </a:solidFill>
              <a:ln>
                <a:noFill/>
                <a:prstDash val="solid"/>
              </a:ln>
            </c:spPr>
            <c:extLst>
              <c:ext xmlns:c16="http://schemas.microsoft.com/office/drawing/2014/chart" uri="{C3380CC4-5D6E-409C-BE32-E72D297353CC}">
                <c16:uniqueId val="{00000031-7867-4980-959E-A70D4D352C67}"/>
              </c:ext>
            </c:extLst>
          </c:dPt>
          <c:dPt>
            <c:idx val="25"/>
            <c:invertIfNegative val="1"/>
            <c:bubble3D val="0"/>
            <c:spPr>
              <a:solidFill>
                <a:schemeClr val="accent6">
                  <a:tint val="69000"/>
                </a:schemeClr>
              </a:solidFill>
              <a:ln>
                <a:noFill/>
                <a:prstDash val="solid"/>
              </a:ln>
            </c:spPr>
            <c:extLst>
              <c:ext xmlns:c16="http://schemas.microsoft.com/office/drawing/2014/chart" uri="{C3380CC4-5D6E-409C-BE32-E72D297353CC}">
                <c16:uniqueId val="{00000033-7867-4980-959E-A70D4D352C67}"/>
              </c:ext>
            </c:extLst>
          </c:dPt>
          <c:dPt>
            <c:idx val="26"/>
            <c:invertIfNegative val="1"/>
            <c:bubble3D val="0"/>
            <c:spPr>
              <a:solidFill>
                <a:schemeClr val="accent6">
                  <a:tint val="65000"/>
                </a:schemeClr>
              </a:solidFill>
              <a:ln>
                <a:noFill/>
                <a:prstDash val="solid"/>
              </a:ln>
            </c:spPr>
            <c:extLst>
              <c:ext xmlns:c16="http://schemas.microsoft.com/office/drawing/2014/chart" uri="{C3380CC4-5D6E-409C-BE32-E72D297353CC}">
                <c16:uniqueId val="{00000035-7867-4980-959E-A70D4D352C67}"/>
              </c:ext>
            </c:extLst>
          </c:dPt>
          <c:dPt>
            <c:idx val="27"/>
            <c:invertIfNegative val="1"/>
            <c:bubble3D val="0"/>
            <c:spPr>
              <a:solidFill>
                <a:schemeClr val="accent6">
                  <a:tint val="62000"/>
                </a:schemeClr>
              </a:solidFill>
              <a:ln>
                <a:noFill/>
                <a:prstDash val="solid"/>
              </a:ln>
            </c:spPr>
            <c:extLst>
              <c:ext xmlns:c16="http://schemas.microsoft.com/office/drawing/2014/chart" uri="{C3380CC4-5D6E-409C-BE32-E72D297353CC}">
                <c16:uniqueId val="{00000037-7867-4980-959E-A70D4D352C67}"/>
              </c:ext>
            </c:extLst>
          </c:dPt>
          <c:dPt>
            <c:idx val="28"/>
            <c:invertIfNegative val="1"/>
            <c:bubble3D val="0"/>
            <c:spPr>
              <a:solidFill>
                <a:schemeClr val="accent6">
                  <a:tint val="58000"/>
                </a:schemeClr>
              </a:solidFill>
              <a:ln>
                <a:noFill/>
                <a:prstDash val="solid"/>
              </a:ln>
            </c:spPr>
            <c:extLst>
              <c:ext xmlns:c16="http://schemas.microsoft.com/office/drawing/2014/chart" uri="{C3380CC4-5D6E-409C-BE32-E72D297353CC}">
                <c16:uniqueId val="{00000039-7867-4980-959E-A70D4D352C67}"/>
              </c:ext>
            </c:extLst>
          </c:dPt>
          <c:dPt>
            <c:idx val="29"/>
            <c:invertIfNegative val="1"/>
            <c:bubble3D val="0"/>
            <c:spPr>
              <a:solidFill>
                <a:schemeClr val="accent6">
                  <a:tint val="54000"/>
                </a:schemeClr>
              </a:solidFill>
              <a:ln>
                <a:noFill/>
                <a:prstDash val="solid"/>
              </a:ln>
            </c:spPr>
            <c:extLst>
              <c:ext xmlns:c16="http://schemas.microsoft.com/office/drawing/2014/chart" uri="{C3380CC4-5D6E-409C-BE32-E72D297353CC}">
                <c16:uniqueId val="{0000003B-7867-4980-959E-A70D4D352C67}"/>
              </c:ext>
            </c:extLst>
          </c:dPt>
          <c:dPt>
            <c:idx val="30"/>
            <c:invertIfNegative val="1"/>
            <c:bubble3D val="0"/>
            <c:spPr>
              <a:solidFill>
                <a:schemeClr val="accent6">
                  <a:tint val="50000"/>
                </a:schemeClr>
              </a:solidFill>
              <a:ln>
                <a:noFill/>
                <a:prstDash val="solid"/>
              </a:ln>
            </c:spPr>
            <c:extLst>
              <c:ext xmlns:c16="http://schemas.microsoft.com/office/drawing/2014/chart" uri="{C3380CC4-5D6E-409C-BE32-E72D297353CC}">
                <c16:uniqueId val="{0000003D-7867-4980-959E-A70D4D352C67}"/>
              </c:ext>
            </c:extLst>
          </c:dPt>
          <c:dPt>
            <c:idx val="31"/>
            <c:invertIfNegative val="1"/>
            <c:bubble3D val="0"/>
            <c:spPr>
              <a:solidFill>
                <a:schemeClr val="accent6">
                  <a:tint val="46000"/>
                </a:schemeClr>
              </a:solidFill>
              <a:ln>
                <a:noFill/>
                <a:prstDash val="solid"/>
              </a:ln>
            </c:spPr>
            <c:extLst>
              <c:ext xmlns:c16="http://schemas.microsoft.com/office/drawing/2014/chart" uri="{C3380CC4-5D6E-409C-BE32-E72D297353CC}">
                <c16:uniqueId val="{0000003F-7867-4980-959E-A70D4D352C67}"/>
              </c:ext>
            </c:extLst>
          </c:dPt>
          <c:dPt>
            <c:idx val="32"/>
            <c:invertIfNegative val="1"/>
            <c:bubble3D val="0"/>
            <c:spPr>
              <a:solidFill>
                <a:schemeClr val="accent6">
                  <a:tint val="42000"/>
                </a:schemeClr>
              </a:solidFill>
              <a:ln>
                <a:noFill/>
                <a:prstDash val="solid"/>
              </a:ln>
            </c:spPr>
            <c:extLst>
              <c:ext xmlns:c16="http://schemas.microsoft.com/office/drawing/2014/chart" uri="{C3380CC4-5D6E-409C-BE32-E72D297353CC}">
                <c16:uniqueId val="{00000041-7867-4980-959E-A70D4D352C67}"/>
              </c:ext>
            </c:extLst>
          </c:dPt>
          <c:dPt>
            <c:idx val="33"/>
            <c:invertIfNegative val="1"/>
            <c:bubble3D val="0"/>
            <c:spPr>
              <a:solidFill>
                <a:schemeClr val="accent6">
                  <a:tint val="38000"/>
                </a:schemeClr>
              </a:solidFill>
              <a:ln>
                <a:noFill/>
                <a:prstDash val="solid"/>
              </a:ln>
            </c:spPr>
            <c:extLst>
              <c:ext xmlns:c16="http://schemas.microsoft.com/office/drawing/2014/chart" uri="{C3380CC4-5D6E-409C-BE32-E72D297353CC}">
                <c16:uniqueId val="{00000043-7867-4980-959E-A70D4D352C67}"/>
              </c:ext>
            </c:extLst>
          </c:dPt>
          <c:dPt>
            <c:idx val="34"/>
            <c:invertIfNegative val="1"/>
            <c:bubble3D val="0"/>
            <c:spPr>
              <a:solidFill>
                <a:schemeClr val="accent6">
                  <a:tint val="34000"/>
                </a:schemeClr>
              </a:solidFill>
              <a:ln>
                <a:noFill/>
                <a:prstDash val="solid"/>
              </a:ln>
            </c:spPr>
            <c:extLst>
              <c:ext xmlns:c16="http://schemas.microsoft.com/office/drawing/2014/chart" uri="{C3380CC4-5D6E-409C-BE32-E72D297353CC}">
                <c16:uniqueId val="{00000045-7867-4980-959E-A70D4D352C67}"/>
              </c:ext>
            </c:extLst>
          </c:dPt>
          <c:cat>
            <c:strRef>
              <c:f>Summary_Trend!$D$3:$D$50</c:f>
              <c:strCache>
                <c:ptCount val="48"/>
                <c:pt idx="0">
                  <c:v>1975-02</c:v>
                </c:pt>
                <c:pt idx="1">
                  <c:v>1994-06</c:v>
                </c:pt>
                <c:pt idx="2">
                  <c:v>1998-02</c:v>
                </c:pt>
                <c:pt idx="3">
                  <c:v>1998-08</c:v>
                </c:pt>
                <c:pt idx="4">
                  <c:v>1998-09</c:v>
                </c:pt>
                <c:pt idx="5">
                  <c:v>2000-01</c:v>
                </c:pt>
                <c:pt idx="6">
                  <c:v>2002-09</c:v>
                </c:pt>
                <c:pt idx="7">
                  <c:v>2004-04</c:v>
                </c:pt>
                <c:pt idx="8">
                  <c:v>2005-03</c:v>
                </c:pt>
                <c:pt idx="9">
                  <c:v>2008-04</c:v>
                </c:pt>
                <c:pt idx="10">
                  <c:v>2008-12</c:v>
                </c:pt>
                <c:pt idx="11">
                  <c:v>2012-12</c:v>
                </c:pt>
                <c:pt idx="12">
                  <c:v>2013-06</c:v>
                </c:pt>
                <c:pt idx="13">
                  <c:v>2013-10</c:v>
                </c:pt>
                <c:pt idx="14">
                  <c:v>2013-11</c:v>
                </c:pt>
                <c:pt idx="15">
                  <c:v>2013-12</c:v>
                </c:pt>
                <c:pt idx="16">
                  <c:v>2015-01</c:v>
                </c:pt>
                <c:pt idx="17">
                  <c:v>2015-11</c:v>
                </c:pt>
                <c:pt idx="18">
                  <c:v>2016-02</c:v>
                </c:pt>
                <c:pt idx="19">
                  <c:v>2016-11</c:v>
                </c:pt>
                <c:pt idx="20">
                  <c:v>2017-01</c:v>
                </c:pt>
                <c:pt idx="21">
                  <c:v>2017-07</c:v>
                </c:pt>
                <c:pt idx="22">
                  <c:v>2018-11</c:v>
                </c:pt>
                <c:pt idx="23">
                  <c:v>2019-02</c:v>
                </c:pt>
                <c:pt idx="24">
                  <c:v>2019-08</c:v>
                </c:pt>
                <c:pt idx="25">
                  <c:v>2020-03</c:v>
                </c:pt>
                <c:pt idx="26">
                  <c:v>2020-05</c:v>
                </c:pt>
                <c:pt idx="27">
                  <c:v>2021-01</c:v>
                </c:pt>
                <c:pt idx="28">
                  <c:v>2021-02</c:v>
                </c:pt>
                <c:pt idx="29">
                  <c:v>2021-03</c:v>
                </c:pt>
                <c:pt idx="30">
                  <c:v>2021-06</c:v>
                </c:pt>
                <c:pt idx="31">
                  <c:v>2021-08</c:v>
                </c:pt>
                <c:pt idx="32">
                  <c:v>2022-02</c:v>
                </c:pt>
                <c:pt idx="33">
                  <c:v>2022-04</c:v>
                </c:pt>
                <c:pt idx="34">
                  <c:v>2022-06</c:v>
                </c:pt>
                <c:pt idx="35">
                  <c:v>2022-07</c:v>
                </c:pt>
                <c:pt idx="36">
                  <c:v>2022-11</c:v>
                </c:pt>
                <c:pt idx="37">
                  <c:v>2024-06</c:v>
                </c:pt>
                <c:pt idx="38">
                  <c:v>2024-11</c:v>
                </c:pt>
                <c:pt idx="39">
                  <c:v>2024-12</c:v>
                </c:pt>
                <c:pt idx="40">
                  <c:v>2025-04</c:v>
                </c:pt>
                <c:pt idx="41">
                  <c:v>2025-07</c:v>
                </c:pt>
                <c:pt idx="42">
                  <c:v>2025-11</c:v>
                </c:pt>
                <c:pt idx="43">
                  <c:v>2025-12</c:v>
                </c:pt>
                <c:pt idx="44">
                  <c:v>2026-01</c:v>
                </c:pt>
                <c:pt idx="45">
                  <c:v>2026-03</c:v>
                </c:pt>
                <c:pt idx="46">
                  <c:v>2026-09</c:v>
                </c:pt>
                <c:pt idx="47">
                  <c:v>2026-12</c:v>
                </c:pt>
              </c:strCache>
            </c:strRef>
          </c:cat>
          <c:val>
            <c:numRef>
              <c:f>Summary_Trend!$E$3:$E$50</c:f>
              <c:numCache>
                <c:formatCode>General</c:formatCode>
                <c:ptCount val="48"/>
                <c:pt idx="0">
                  <c:v>0</c:v>
                </c:pt>
                <c:pt idx="1">
                  <c:v>0</c:v>
                </c:pt>
                <c:pt idx="2">
                  <c:v>0</c:v>
                </c:pt>
                <c:pt idx="3">
                  <c:v>0</c:v>
                </c:pt>
                <c:pt idx="4">
                  <c:v>0</c:v>
                </c:pt>
                <c:pt idx="5">
                  <c:v>0</c:v>
                </c:pt>
                <c:pt idx="6">
                  <c:v>0</c:v>
                </c:pt>
                <c:pt idx="7">
                  <c:v>0</c:v>
                </c:pt>
                <c:pt idx="8">
                  <c:v>0</c:v>
                </c:pt>
                <c:pt idx="9">
                  <c:v>1</c:v>
                </c:pt>
                <c:pt idx="10">
                  <c:v>0</c:v>
                </c:pt>
                <c:pt idx="11">
                  <c:v>1</c:v>
                </c:pt>
                <c:pt idx="12">
                  <c:v>2</c:v>
                </c:pt>
                <c:pt idx="13">
                  <c:v>0</c:v>
                </c:pt>
                <c:pt idx="14">
                  <c:v>0</c:v>
                </c:pt>
                <c:pt idx="15">
                  <c:v>0</c:v>
                </c:pt>
                <c:pt idx="16">
                  <c:v>0</c:v>
                </c:pt>
                <c:pt idx="17">
                  <c:v>0</c:v>
                </c:pt>
                <c:pt idx="18">
                  <c:v>0</c:v>
                </c:pt>
                <c:pt idx="19">
                  <c:v>0</c:v>
                </c:pt>
                <c:pt idx="20">
                  <c:v>0</c:v>
                </c:pt>
                <c:pt idx="21">
                  <c:v>0</c:v>
                </c:pt>
                <c:pt idx="22">
                  <c:v>0</c:v>
                </c:pt>
                <c:pt idx="23">
                  <c:v>0</c:v>
                </c:pt>
                <c:pt idx="24">
                  <c:v>2</c:v>
                </c:pt>
                <c:pt idx="25">
                  <c:v>0</c:v>
                </c:pt>
                <c:pt idx="26">
                  <c:v>1</c:v>
                </c:pt>
                <c:pt idx="27">
                  <c:v>1</c:v>
                </c:pt>
                <c:pt idx="28">
                  <c:v>2</c:v>
                </c:pt>
                <c:pt idx="29">
                  <c:v>1</c:v>
                </c:pt>
                <c:pt idx="30">
                  <c:v>1</c:v>
                </c:pt>
                <c:pt idx="31">
                  <c:v>0</c:v>
                </c:pt>
                <c:pt idx="32">
                  <c:v>0</c:v>
                </c:pt>
                <c:pt idx="33">
                  <c:v>1</c:v>
                </c:pt>
                <c:pt idx="34">
                  <c:v>0</c:v>
                </c:pt>
                <c:pt idx="35">
                  <c:v>1</c:v>
                </c:pt>
                <c:pt idx="36">
                  <c:v>1</c:v>
                </c:pt>
                <c:pt idx="37">
                  <c:v>0</c:v>
                </c:pt>
                <c:pt idx="38">
                  <c:v>0</c:v>
                </c:pt>
                <c:pt idx="39">
                  <c:v>0</c:v>
                </c:pt>
                <c:pt idx="40">
                  <c:v>0</c:v>
                </c:pt>
                <c:pt idx="41">
                  <c:v>1</c:v>
                </c:pt>
                <c:pt idx="42">
                  <c:v>2</c:v>
                </c:pt>
                <c:pt idx="43">
                  <c:v>3</c:v>
                </c:pt>
                <c:pt idx="44">
                  <c:v>0</c:v>
                </c:pt>
                <c:pt idx="45">
                  <c:v>1</c:v>
                </c:pt>
                <c:pt idx="46">
                  <c:v>2</c:v>
                </c:pt>
                <c:pt idx="47">
                  <c:v>1</c:v>
                </c:pt>
              </c:numCache>
            </c:numRef>
          </c:val>
          <c:extLst>
            <c:ext xmlns:c16="http://schemas.microsoft.com/office/drawing/2014/chart" uri="{C3380CC4-5D6E-409C-BE32-E72D297353CC}">
              <c16:uniqueId val="{00000046-7867-4980-959E-A70D4D352C6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title>
          <c:tx>
            <c:rich>
              <a:bodyPr/>
              <a:lstStyle/>
              <a:p>
                <a:r>
                  <a:rPr sz="1000" b="1" i="0">
                    <a:solidFill>
                      <a:schemeClr val="tx1"/>
                    </a:solidFill>
                    <a:latin typeface="+mn-lt"/>
                    <a:ea typeface="+mn-lt"/>
                    <a:cs typeface="+mn-lt"/>
                  </a:rPr>
                  <a:t>Month</a:t>
                </a:r>
              </a:p>
            </c:rich>
          </c:tx>
          <c:overlay val="1"/>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9525" cmpd="sng">
              <a:solidFill>
                <a:schemeClr val="tx1">
                  <a:shade val="95000"/>
                  <a:satMod val="105000"/>
                </a:schemeClr>
              </a:solidFill>
              <a:prstDash val="solid"/>
            </a:ln>
          </c:spPr>
        </c:majorGridlines>
        <c:title>
          <c:tx>
            <c:rich>
              <a:bodyPr/>
              <a:lstStyle/>
              <a:p>
                <a:r>
                  <a:rPr sz="1000" b="1" i="0">
                    <a:solidFill>
                      <a:schemeClr val="tx1"/>
                    </a:solidFill>
                    <a:latin typeface="+mn-lt"/>
                    <a:ea typeface="+mn-lt"/>
                    <a:cs typeface="+mn-lt"/>
                  </a:rPr>
                  <a:t>Count</a:t>
                </a:r>
              </a:p>
            </c:rich>
          </c:tx>
          <c:overlay val="1"/>
        </c:title>
        <c:numFmt formatCode="General" sourceLinked="1"/>
        <c:majorTickMark val="none"/>
        <c:minorTickMark val="none"/>
        <c:tickLblPos val="nextTo"/>
        <c:crossAx val="48650112"/>
        <c:crosses val="autoZero"/>
        <c:crossBetween val="between"/>
      </c:valAx>
    </c:plotArea>
    <c:legend>
      <c:legendPos val="r"/>
      <c:overlay val="0"/>
      <c:spPr>
        <a:noFill/>
        <a:ln>
          <a:noFill/>
          <a:prstDash val="solid"/>
        </a:ln>
      </c:spPr>
      <c:txPr>
        <a:bodyPr rot="0" vert="horz" anchor="ctr" anchorCtr="1"/>
        <a:lstStyle/>
        <a:p>
          <a:pPr>
            <a:defRPr sz="1000" b="0" i="0">
              <a:solidFill>
                <a:schemeClr val="tx1"/>
              </a:solidFill>
              <a:latin typeface="+mn-lt"/>
              <a:ea typeface="+mn-lt"/>
              <a:cs typeface="+mn-lt"/>
            </a:defRPr>
          </a:pPr>
          <a:endParaRPr lang="en-US"/>
        </a:p>
      </c:txPr>
    </c:legend>
    <c:plotVisOnly val="1"/>
    <c:dispBlanksAs val="gap"/>
    <c:showDLblsOverMax val="1"/>
  </c:chart>
  <c:spPr>
    <a:solidFill>
      <a:schemeClr val="bg1"/>
    </a:solidFill>
    <a:ln w="9525" cmpd="sng">
      <a:solidFill>
        <a:schemeClr val="tx1">
          <a:tint val="75000"/>
          <a:shade val="95000"/>
          <a:satMod val="105000"/>
        </a:schemeClr>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1"/>
  <c:style val="2"/>
  <c:chart>
    <c:title>
      <c:tx>
        <c:rich>
          <a:bodyPr/>
          <a:lstStyle/>
          <a:p>
            <a:r>
              <a:rPr sz="1000" b="1" i="0">
                <a:solidFill>
                  <a:schemeClr val="tx1"/>
                </a:solidFill>
                <a:latin typeface="+mn-lt"/>
                <a:ea typeface="+mn-lt"/>
                <a:cs typeface="+mn-lt"/>
              </a:rPr>
              <a:t>Yearly Distribution</a:t>
            </a:r>
          </a:p>
        </c:rich>
      </c:tx>
      <c:overlay val="0"/>
    </c:title>
    <c:autoTitleDeleted val="0"/>
    <c:plotArea>
      <c:layout/>
      <c:barChart>
        <c:barDir val="col"/>
        <c:grouping val="clustered"/>
        <c:varyColors val="1"/>
        <c:ser>
          <c:idx val="0"/>
          <c:order val="0"/>
          <c:tx>
            <c:strRef>
              <c:f>Summary_Trend!$B$2</c:f>
              <c:strCache>
                <c:ptCount val="1"/>
                <c:pt idx="0">
                  <c:v>Count</c:v>
                </c:pt>
              </c:strCache>
            </c:strRef>
          </c:tx>
          <c:spPr>
            <a:solidFill>
              <a:srgbClr val="105057"/>
            </a:solidFill>
            <a:ln>
              <a:prstDash val="solid"/>
            </a:ln>
          </c:spPr>
          <c:invertIfNegative val="1"/>
          <c:dPt>
            <c:idx val="0"/>
            <c:invertIfNegative val="1"/>
            <c:bubble3D val="0"/>
            <c:spPr>
              <a:solidFill>
                <a:schemeClr val="accent3">
                  <a:tint val="37000"/>
                </a:schemeClr>
              </a:solidFill>
              <a:ln>
                <a:noFill/>
                <a:prstDash val="solid"/>
              </a:ln>
            </c:spPr>
            <c:extLst>
              <c:ext xmlns:c16="http://schemas.microsoft.com/office/drawing/2014/chart" uri="{C3380CC4-5D6E-409C-BE32-E72D297353CC}">
                <c16:uniqueId val="{00000001-74AB-49DF-9A84-250ECE6049BA}"/>
              </c:ext>
            </c:extLst>
          </c:dPt>
          <c:dPt>
            <c:idx val="1"/>
            <c:invertIfNegative val="1"/>
            <c:bubble3D val="0"/>
            <c:spPr>
              <a:solidFill>
                <a:schemeClr val="accent3">
                  <a:tint val="44000"/>
                </a:schemeClr>
              </a:solidFill>
              <a:ln>
                <a:noFill/>
                <a:prstDash val="solid"/>
              </a:ln>
            </c:spPr>
            <c:extLst>
              <c:ext xmlns:c16="http://schemas.microsoft.com/office/drawing/2014/chart" uri="{C3380CC4-5D6E-409C-BE32-E72D297353CC}">
                <c16:uniqueId val="{00000003-74AB-49DF-9A84-250ECE6049BA}"/>
              </c:ext>
            </c:extLst>
          </c:dPt>
          <c:dPt>
            <c:idx val="2"/>
            <c:invertIfNegative val="1"/>
            <c:bubble3D val="0"/>
            <c:spPr>
              <a:solidFill>
                <a:schemeClr val="accent3">
                  <a:tint val="51000"/>
                </a:schemeClr>
              </a:solidFill>
              <a:ln>
                <a:noFill/>
                <a:prstDash val="solid"/>
              </a:ln>
            </c:spPr>
            <c:extLst>
              <c:ext xmlns:c16="http://schemas.microsoft.com/office/drawing/2014/chart" uri="{C3380CC4-5D6E-409C-BE32-E72D297353CC}">
                <c16:uniqueId val="{00000005-74AB-49DF-9A84-250ECE6049BA}"/>
              </c:ext>
            </c:extLst>
          </c:dPt>
          <c:dPt>
            <c:idx val="3"/>
            <c:invertIfNegative val="1"/>
            <c:bubble3D val="0"/>
            <c:spPr>
              <a:solidFill>
                <a:schemeClr val="accent3">
                  <a:tint val="58000"/>
                </a:schemeClr>
              </a:solidFill>
              <a:ln>
                <a:noFill/>
                <a:prstDash val="solid"/>
              </a:ln>
            </c:spPr>
            <c:extLst>
              <c:ext xmlns:c16="http://schemas.microsoft.com/office/drawing/2014/chart" uri="{C3380CC4-5D6E-409C-BE32-E72D297353CC}">
                <c16:uniqueId val="{00000007-74AB-49DF-9A84-250ECE6049BA}"/>
              </c:ext>
            </c:extLst>
          </c:dPt>
          <c:dPt>
            <c:idx val="4"/>
            <c:invertIfNegative val="1"/>
            <c:bubble3D val="0"/>
            <c:spPr>
              <a:solidFill>
                <a:schemeClr val="accent3">
                  <a:tint val="65000"/>
                </a:schemeClr>
              </a:solidFill>
              <a:ln>
                <a:noFill/>
                <a:prstDash val="solid"/>
              </a:ln>
            </c:spPr>
            <c:extLst>
              <c:ext xmlns:c16="http://schemas.microsoft.com/office/drawing/2014/chart" uri="{C3380CC4-5D6E-409C-BE32-E72D297353CC}">
                <c16:uniqueId val="{00000009-74AB-49DF-9A84-250ECE6049BA}"/>
              </c:ext>
            </c:extLst>
          </c:dPt>
          <c:dPt>
            <c:idx val="5"/>
            <c:invertIfNegative val="1"/>
            <c:bubble3D val="0"/>
            <c:spPr>
              <a:solidFill>
                <a:schemeClr val="accent3">
                  <a:tint val="72000"/>
                </a:schemeClr>
              </a:solidFill>
              <a:ln>
                <a:noFill/>
                <a:prstDash val="solid"/>
              </a:ln>
            </c:spPr>
            <c:extLst>
              <c:ext xmlns:c16="http://schemas.microsoft.com/office/drawing/2014/chart" uri="{C3380CC4-5D6E-409C-BE32-E72D297353CC}">
                <c16:uniqueId val="{0000000B-74AB-49DF-9A84-250ECE6049BA}"/>
              </c:ext>
            </c:extLst>
          </c:dPt>
          <c:dPt>
            <c:idx val="6"/>
            <c:invertIfNegative val="1"/>
            <c:bubble3D val="0"/>
            <c:spPr>
              <a:solidFill>
                <a:schemeClr val="accent3">
                  <a:tint val="79000"/>
                </a:schemeClr>
              </a:solidFill>
              <a:ln>
                <a:noFill/>
                <a:prstDash val="solid"/>
              </a:ln>
            </c:spPr>
            <c:extLst>
              <c:ext xmlns:c16="http://schemas.microsoft.com/office/drawing/2014/chart" uri="{C3380CC4-5D6E-409C-BE32-E72D297353CC}">
                <c16:uniqueId val="{0000000D-74AB-49DF-9A84-250ECE6049BA}"/>
              </c:ext>
            </c:extLst>
          </c:dPt>
          <c:dPt>
            <c:idx val="7"/>
            <c:invertIfNegative val="1"/>
            <c:bubble3D val="0"/>
            <c:spPr>
              <a:solidFill>
                <a:schemeClr val="accent3">
                  <a:tint val="86000"/>
                </a:schemeClr>
              </a:solidFill>
              <a:ln>
                <a:noFill/>
                <a:prstDash val="solid"/>
              </a:ln>
            </c:spPr>
            <c:extLst>
              <c:ext xmlns:c16="http://schemas.microsoft.com/office/drawing/2014/chart" uri="{C3380CC4-5D6E-409C-BE32-E72D297353CC}">
                <c16:uniqueId val="{0000000F-74AB-49DF-9A84-250ECE6049BA}"/>
              </c:ext>
            </c:extLst>
          </c:dPt>
          <c:dPt>
            <c:idx val="8"/>
            <c:invertIfNegative val="1"/>
            <c:bubble3D val="0"/>
            <c:spPr>
              <a:solidFill>
                <a:schemeClr val="accent3">
                  <a:tint val="93000"/>
                </a:schemeClr>
              </a:solidFill>
              <a:ln>
                <a:noFill/>
                <a:prstDash val="solid"/>
              </a:ln>
            </c:spPr>
            <c:extLst>
              <c:ext xmlns:c16="http://schemas.microsoft.com/office/drawing/2014/chart" uri="{C3380CC4-5D6E-409C-BE32-E72D297353CC}">
                <c16:uniqueId val="{00000011-74AB-49DF-9A84-250ECE6049BA}"/>
              </c:ext>
            </c:extLst>
          </c:dPt>
          <c:dPt>
            <c:idx val="9"/>
            <c:invertIfNegative val="1"/>
            <c:bubble3D val="0"/>
            <c:spPr>
              <a:solidFill>
                <a:schemeClr val="accent3"/>
              </a:solidFill>
              <a:ln>
                <a:noFill/>
                <a:prstDash val="solid"/>
              </a:ln>
            </c:spPr>
            <c:extLst>
              <c:ext xmlns:c16="http://schemas.microsoft.com/office/drawing/2014/chart" uri="{C3380CC4-5D6E-409C-BE32-E72D297353CC}">
                <c16:uniqueId val="{00000013-74AB-49DF-9A84-250ECE6049BA}"/>
              </c:ext>
            </c:extLst>
          </c:dPt>
          <c:dPt>
            <c:idx val="10"/>
            <c:invertIfNegative val="1"/>
            <c:bubble3D val="0"/>
            <c:spPr>
              <a:solidFill>
                <a:schemeClr val="accent3">
                  <a:shade val="93000"/>
                </a:schemeClr>
              </a:solidFill>
              <a:ln>
                <a:noFill/>
                <a:prstDash val="solid"/>
              </a:ln>
            </c:spPr>
            <c:extLst>
              <c:ext xmlns:c16="http://schemas.microsoft.com/office/drawing/2014/chart" uri="{C3380CC4-5D6E-409C-BE32-E72D297353CC}">
                <c16:uniqueId val="{00000015-74AB-49DF-9A84-250ECE6049BA}"/>
              </c:ext>
            </c:extLst>
          </c:dPt>
          <c:dPt>
            <c:idx val="11"/>
            <c:invertIfNegative val="1"/>
            <c:bubble3D val="0"/>
            <c:spPr>
              <a:solidFill>
                <a:schemeClr val="accent3">
                  <a:shade val="86000"/>
                </a:schemeClr>
              </a:solidFill>
              <a:ln>
                <a:noFill/>
                <a:prstDash val="solid"/>
              </a:ln>
            </c:spPr>
            <c:extLst>
              <c:ext xmlns:c16="http://schemas.microsoft.com/office/drawing/2014/chart" uri="{C3380CC4-5D6E-409C-BE32-E72D297353CC}">
                <c16:uniqueId val="{00000017-74AB-49DF-9A84-250ECE6049BA}"/>
              </c:ext>
            </c:extLst>
          </c:dPt>
          <c:dPt>
            <c:idx val="12"/>
            <c:invertIfNegative val="1"/>
            <c:bubble3D val="0"/>
            <c:spPr>
              <a:solidFill>
                <a:schemeClr val="accent3">
                  <a:shade val="79000"/>
                </a:schemeClr>
              </a:solidFill>
              <a:ln>
                <a:noFill/>
                <a:prstDash val="solid"/>
              </a:ln>
            </c:spPr>
            <c:extLst>
              <c:ext xmlns:c16="http://schemas.microsoft.com/office/drawing/2014/chart" uri="{C3380CC4-5D6E-409C-BE32-E72D297353CC}">
                <c16:uniqueId val="{00000019-74AB-49DF-9A84-250ECE6049BA}"/>
              </c:ext>
            </c:extLst>
          </c:dPt>
          <c:dPt>
            <c:idx val="13"/>
            <c:invertIfNegative val="1"/>
            <c:bubble3D val="0"/>
            <c:spPr>
              <a:solidFill>
                <a:schemeClr val="accent3">
                  <a:shade val="72000"/>
                </a:schemeClr>
              </a:solidFill>
              <a:ln>
                <a:noFill/>
                <a:prstDash val="solid"/>
              </a:ln>
            </c:spPr>
            <c:extLst>
              <c:ext xmlns:c16="http://schemas.microsoft.com/office/drawing/2014/chart" uri="{C3380CC4-5D6E-409C-BE32-E72D297353CC}">
                <c16:uniqueId val="{0000001B-74AB-49DF-9A84-250ECE6049BA}"/>
              </c:ext>
            </c:extLst>
          </c:dPt>
          <c:dPt>
            <c:idx val="14"/>
            <c:invertIfNegative val="1"/>
            <c:bubble3D val="0"/>
            <c:spPr>
              <a:solidFill>
                <a:schemeClr val="accent3">
                  <a:shade val="65000"/>
                </a:schemeClr>
              </a:solidFill>
              <a:ln>
                <a:noFill/>
                <a:prstDash val="solid"/>
              </a:ln>
            </c:spPr>
            <c:extLst>
              <c:ext xmlns:c16="http://schemas.microsoft.com/office/drawing/2014/chart" uri="{C3380CC4-5D6E-409C-BE32-E72D297353CC}">
                <c16:uniqueId val="{0000001D-74AB-49DF-9A84-250ECE6049BA}"/>
              </c:ext>
            </c:extLst>
          </c:dPt>
          <c:dPt>
            <c:idx val="15"/>
            <c:invertIfNegative val="1"/>
            <c:bubble3D val="0"/>
            <c:spPr>
              <a:solidFill>
                <a:schemeClr val="accent3">
                  <a:shade val="58000"/>
                </a:schemeClr>
              </a:solidFill>
              <a:ln>
                <a:noFill/>
                <a:prstDash val="solid"/>
              </a:ln>
            </c:spPr>
            <c:extLst>
              <c:ext xmlns:c16="http://schemas.microsoft.com/office/drawing/2014/chart" uri="{C3380CC4-5D6E-409C-BE32-E72D297353CC}">
                <c16:uniqueId val="{0000001F-74AB-49DF-9A84-250ECE6049BA}"/>
              </c:ext>
            </c:extLst>
          </c:dPt>
          <c:dPt>
            <c:idx val="16"/>
            <c:invertIfNegative val="1"/>
            <c:bubble3D val="0"/>
            <c:spPr>
              <a:solidFill>
                <a:schemeClr val="accent3">
                  <a:shade val="51000"/>
                </a:schemeClr>
              </a:solidFill>
              <a:ln>
                <a:noFill/>
                <a:prstDash val="solid"/>
              </a:ln>
            </c:spPr>
            <c:extLst>
              <c:ext xmlns:c16="http://schemas.microsoft.com/office/drawing/2014/chart" uri="{C3380CC4-5D6E-409C-BE32-E72D297353CC}">
                <c16:uniqueId val="{00000021-74AB-49DF-9A84-250ECE6049BA}"/>
              </c:ext>
            </c:extLst>
          </c:dPt>
          <c:dPt>
            <c:idx val="17"/>
            <c:invertIfNegative val="1"/>
            <c:bubble3D val="0"/>
            <c:spPr>
              <a:solidFill>
                <a:schemeClr val="accent3">
                  <a:shade val="44000"/>
                </a:schemeClr>
              </a:solidFill>
              <a:ln>
                <a:noFill/>
                <a:prstDash val="solid"/>
              </a:ln>
            </c:spPr>
            <c:extLst>
              <c:ext xmlns:c16="http://schemas.microsoft.com/office/drawing/2014/chart" uri="{C3380CC4-5D6E-409C-BE32-E72D297353CC}">
                <c16:uniqueId val="{00000023-74AB-49DF-9A84-250ECE6049BA}"/>
              </c:ext>
            </c:extLst>
          </c:dPt>
          <c:dPt>
            <c:idx val="18"/>
            <c:invertIfNegative val="1"/>
            <c:bubble3D val="0"/>
            <c:spPr>
              <a:solidFill>
                <a:schemeClr val="accent3">
                  <a:shade val="37000"/>
                </a:schemeClr>
              </a:solidFill>
              <a:ln>
                <a:noFill/>
                <a:prstDash val="solid"/>
              </a:ln>
            </c:spPr>
            <c:extLst>
              <c:ext xmlns:c16="http://schemas.microsoft.com/office/drawing/2014/chart" uri="{C3380CC4-5D6E-409C-BE32-E72D297353CC}">
                <c16:uniqueId val="{00000025-74AB-49DF-9A84-250ECE6049BA}"/>
              </c:ext>
            </c:extLst>
          </c:dPt>
          <c:cat>
            <c:numRef>
              <c:f>Summary_Trend!$A$3:$A$23</c:f>
              <c:numCache>
                <c:formatCode>General</c:formatCode>
                <c:ptCount val="21"/>
                <c:pt idx="0">
                  <c:v>1975</c:v>
                </c:pt>
                <c:pt idx="1">
                  <c:v>1994</c:v>
                </c:pt>
                <c:pt idx="2">
                  <c:v>1998</c:v>
                </c:pt>
                <c:pt idx="3">
                  <c:v>2000</c:v>
                </c:pt>
                <c:pt idx="4">
                  <c:v>2002</c:v>
                </c:pt>
                <c:pt idx="5">
                  <c:v>2004</c:v>
                </c:pt>
                <c:pt idx="6">
                  <c:v>2005</c:v>
                </c:pt>
                <c:pt idx="7">
                  <c:v>2008</c:v>
                </c:pt>
                <c:pt idx="8">
                  <c:v>2012</c:v>
                </c:pt>
                <c:pt idx="9">
                  <c:v>2013</c:v>
                </c:pt>
                <c:pt idx="10">
                  <c:v>2015</c:v>
                </c:pt>
                <c:pt idx="11">
                  <c:v>2016</c:v>
                </c:pt>
                <c:pt idx="12">
                  <c:v>2017</c:v>
                </c:pt>
                <c:pt idx="13">
                  <c:v>2018</c:v>
                </c:pt>
                <c:pt idx="14">
                  <c:v>2019</c:v>
                </c:pt>
                <c:pt idx="15">
                  <c:v>2020</c:v>
                </c:pt>
                <c:pt idx="16">
                  <c:v>2021</c:v>
                </c:pt>
                <c:pt idx="17">
                  <c:v>2022</c:v>
                </c:pt>
                <c:pt idx="18">
                  <c:v>2024</c:v>
                </c:pt>
                <c:pt idx="19">
                  <c:v>2025</c:v>
                </c:pt>
                <c:pt idx="20">
                  <c:v>2026</c:v>
                </c:pt>
              </c:numCache>
            </c:numRef>
          </c:cat>
          <c:val>
            <c:numRef>
              <c:f>Summary_Trend!$B$3:$B$23</c:f>
              <c:numCache>
                <c:formatCode>General</c:formatCode>
                <c:ptCount val="21"/>
                <c:pt idx="0">
                  <c:v>0</c:v>
                </c:pt>
                <c:pt idx="1">
                  <c:v>0</c:v>
                </c:pt>
                <c:pt idx="2">
                  <c:v>0</c:v>
                </c:pt>
                <c:pt idx="3">
                  <c:v>0</c:v>
                </c:pt>
                <c:pt idx="4">
                  <c:v>0</c:v>
                </c:pt>
                <c:pt idx="5">
                  <c:v>0</c:v>
                </c:pt>
                <c:pt idx="6">
                  <c:v>0</c:v>
                </c:pt>
                <c:pt idx="7">
                  <c:v>1</c:v>
                </c:pt>
                <c:pt idx="8">
                  <c:v>1</c:v>
                </c:pt>
                <c:pt idx="9">
                  <c:v>2</c:v>
                </c:pt>
                <c:pt idx="10">
                  <c:v>0</c:v>
                </c:pt>
                <c:pt idx="11">
                  <c:v>0</c:v>
                </c:pt>
                <c:pt idx="12">
                  <c:v>0</c:v>
                </c:pt>
                <c:pt idx="13">
                  <c:v>0</c:v>
                </c:pt>
                <c:pt idx="14">
                  <c:v>2</c:v>
                </c:pt>
                <c:pt idx="15">
                  <c:v>1</c:v>
                </c:pt>
                <c:pt idx="16">
                  <c:v>5</c:v>
                </c:pt>
                <c:pt idx="17">
                  <c:v>3</c:v>
                </c:pt>
                <c:pt idx="18">
                  <c:v>0</c:v>
                </c:pt>
                <c:pt idx="19">
                  <c:v>6</c:v>
                </c:pt>
                <c:pt idx="20">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6-74AB-49DF-9A84-250ECE6049B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l"/>
        <c:majorGridlines>
          <c:spPr>
            <a:ln w="9525" cmpd="sng">
              <a:solidFill>
                <a:schemeClr val="tx1">
                  <a:shade val="95000"/>
                  <a:satMod val="105000"/>
                </a:schemeClr>
              </a:solidFill>
              <a:prstDash val="solid"/>
            </a:ln>
          </c:spPr>
        </c:majorGridlines>
        <c:numFmt formatCode="General" sourceLinked="1"/>
        <c:majorTickMark val="none"/>
        <c:minorTickMark val="none"/>
        <c:tickLblPos val="nextTo"/>
        <c:crossAx val="48650112"/>
        <c:crosses val="autoZero"/>
        <c:crossBetween val="between"/>
      </c:valAx>
    </c:plotArea>
    <c:legend>
      <c:legendPos val="r"/>
      <c:overlay val="0"/>
      <c:spPr>
        <a:noFill/>
        <a:ln>
          <a:noFill/>
          <a:prstDash val="solid"/>
        </a:ln>
      </c:spPr>
      <c:txPr>
        <a:bodyPr rot="0" vert="horz" anchor="ctr" anchorCtr="1"/>
        <a:lstStyle/>
        <a:p>
          <a:pPr>
            <a:defRPr sz="1000" b="0" i="0">
              <a:solidFill>
                <a:schemeClr val="tx1"/>
              </a:solidFill>
              <a:latin typeface="+mn-lt"/>
              <a:ea typeface="+mn-lt"/>
              <a:cs typeface="+mn-lt"/>
            </a:defRPr>
          </a:pPr>
          <a:endParaRPr lang="en-US"/>
        </a:p>
      </c:txPr>
    </c:legend>
    <c:plotVisOnly val="1"/>
    <c:dispBlanksAs val="gap"/>
    <c:showDLblsOverMax val="1"/>
  </c:chart>
  <c:spPr>
    <a:solidFill>
      <a:schemeClr val="bg1"/>
    </a:solidFill>
    <a:ln w="9525" cmpd="sng">
      <a:solidFill>
        <a:schemeClr val="tx1">
          <a:tint val="75000"/>
          <a:shade val="95000"/>
          <a:satMod val="105000"/>
        </a:schemeClr>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10</xdr:row>
      <xdr:rowOff>38100</xdr:rowOff>
    </xdr:from>
    <xdr:to>
      <xdr:col>2</xdr:col>
      <xdr:colOff>0</xdr:colOff>
      <xdr:row>10</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10</xdr:row>
      <xdr:rowOff>57150</xdr:rowOff>
    </xdr:from>
    <xdr:to>
      <xdr:col>7</xdr:col>
      <xdr:colOff>647700</xdr:colOff>
      <xdr:row>10</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10</xdr:row>
      <xdr:rowOff>38100</xdr:rowOff>
    </xdr:from>
    <xdr:to>
      <xdr:col>3</xdr:col>
      <xdr:colOff>660400</xdr:colOff>
      <xdr:row>10</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10</xdr:row>
      <xdr:rowOff>15875</xdr:rowOff>
    </xdr:from>
    <xdr:to>
      <xdr:col>11</xdr:col>
      <xdr:colOff>549275</xdr:colOff>
      <xdr:row>10</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05057"/>
  </sheetPr>
  <dimension ref="B2:M27"/>
  <sheetViews>
    <sheetView showGridLines="0" tabSelected="1" zoomScale="66" workbookViewId="0">
      <selection activeCell="E24" sqref="E24"/>
    </sheetView>
  </sheetViews>
  <sheetFormatPr defaultColWidth="8.85546875" defaultRowHeight="14.45"/>
  <cols>
    <col min="1" max="1" width="2" customWidth="1"/>
    <col min="2" max="2" width="37" customWidth="1"/>
    <col min="3" max="3" width="23" customWidth="1"/>
    <col min="4" max="4" width="15" customWidth="1"/>
    <col min="5" max="5" width="23" customWidth="1"/>
    <col min="6" max="8" width="18" customWidth="1"/>
    <col min="9" max="9" width="21" customWidth="1"/>
    <col min="10" max="10" width="17" customWidth="1"/>
    <col min="11" max="13" width="18" customWidth="1"/>
    <col min="14" max="14" width="2" customWidth="1"/>
  </cols>
  <sheetData>
    <row r="2" spans="2:13">
      <c r="B2" s="30" t="s">
        <v>0</v>
      </c>
      <c r="C2" s="49"/>
      <c r="D2" s="49"/>
      <c r="E2" s="49"/>
      <c r="F2" s="49"/>
      <c r="G2" s="49"/>
      <c r="H2" s="49"/>
      <c r="I2" s="49"/>
      <c r="J2" s="49"/>
      <c r="K2" s="49"/>
      <c r="L2" s="49"/>
      <c r="M2" s="50"/>
    </row>
    <row r="3" spans="2:13">
      <c r="B3" s="51"/>
      <c r="C3" s="52"/>
      <c r="D3" s="52"/>
      <c r="E3" s="52"/>
      <c r="F3" s="52"/>
      <c r="G3" s="52"/>
      <c r="H3" s="52"/>
      <c r="I3" s="52"/>
      <c r="J3" s="52"/>
      <c r="K3" s="52"/>
      <c r="L3" s="52"/>
      <c r="M3" s="53"/>
    </row>
    <row r="4" spans="2:13">
      <c r="B4" s="33" t="s">
        <v>1</v>
      </c>
      <c r="C4" s="54"/>
      <c r="D4" s="54"/>
      <c r="E4" s="54"/>
      <c r="F4" s="54"/>
      <c r="G4" s="54"/>
      <c r="H4" s="54"/>
      <c r="I4" s="54"/>
      <c r="J4" s="54"/>
      <c r="K4" s="54"/>
      <c r="L4" s="54"/>
      <c r="M4" s="55"/>
    </row>
    <row r="5" spans="2:13">
      <c r="B5" s="31"/>
      <c r="C5" s="54"/>
      <c r="D5" s="54"/>
      <c r="E5" s="54"/>
      <c r="F5" s="54"/>
      <c r="G5" s="54"/>
      <c r="H5" s="54"/>
      <c r="I5" s="54"/>
      <c r="J5" s="54"/>
      <c r="K5" s="54"/>
      <c r="L5" s="54"/>
      <c r="M5" s="55"/>
    </row>
    <row r="6" spans="2:13">
      <c r="B6" s="37" t="s">
        <v>2</v>
      </c>
      <c r="C6" s="56"/>
      <c r="D6" s="57"/>
      <c r="E6" s="37" t="s">
        <v>3</v>
      </c>
      <c r="F6" s="56"/>
      <c r="G6" s="57"/>
      <c r="H6" s="37" t="s">
        <v>4</v>
      </c>
      <c r="I6" s="56"/>
      <c r="J6" s="57"/>
      <c r="K6" s="32" t="s">
        <v>5</v>
      </c>
      <c r="L6" s="56"/>
      <c r="M6" s="57"/>
    </row>
    <row r="7" spans="2:13">
      <c r="B7" s="35">
        <f>Summary_KPI!B3</f>
        <v>74</v>
      </c>
      <c r="C7" s="49"/>
      <c r="D7" s="50"/>
      <c r="E7" s="35">
        <f>Summary_KPI!B4</f>
        <v>71</v>
      </c>
      <c r="F7" s="49"/>
      <c r="G7" s="50"/>
      <c r="H7" s="35">
        <f>Summary_KPI!B5</f>
        <v>69</v>
      </c>
      <c r="I7" s="49"/>
      <c r="J7" s="50"/>
      <c r="K7" s="38">
        <f>Summary_KPI!B11</f>
        <v>3</v>
      </c>
      <c r="L7" s="49"/>
      <c r="M7" s="50"/>
    </row>
    <row r="8" spans="2:13">
      <c r="B8" s="51"/>
      <c r="C8" s="52"/>
      <c r="D8" s="53"/>
      <c r="E8" s="51"/>
      <c r="F8" s="52"/>
      <c r="G8" s="53"/>
      <c r="H8" s="51"/>
      <c r="I8" s="52"/>
      <c r="J8" s="53"/>
      <c r="K8" s="51"/>
      <c r="L8" s="52"/>
      <c r="M8" s="53"/>
    </row>
    <row r="9" spans="2:13">
      <c r="B9" s="42" t="s">
        <v>6</v>
      </c>
      <c r="C9" s="56"/>
      <c r="D9" s="57"/>
      <c r="E9" s="36" t="s">
        <v>7</v>
      </c>
      <c r="F9" s="56"/>
      <c r="G9" s="56"/>
      <c r="H9" s="57"/>
      <c r="I9" s="44" t="s">
        <v>8</v>
      </c>
      <c r="J9" s="49"/>
      <c r="K9" s="49"/>
      <c r="L9" s="49"/>
      <c r="M9" s="50"/>
    </row>
    <row r="10" spans="2:13" ht="24" customHeight="1">
      <c r="B10" s="40">
        <f>Summary_KPI!B12</f>
        <v>0.93243243243243246</v>
      </c>
      <c r="C10" s="56"/>
      <c r="D10" s="57"/>
      <c r="E10" s="34" t="str">
        <f>Summary_KPI!B13</f>
        <v>กฎหมายคุ้มครองแรงงาน</v>
      </c>
      <c r="F10" s="56"/>
      <c r="G10" s="56"/>
      <c r="H10" s="57"/>
      <c r="I10" s="51"/>
      <c r="J10" s="52"/>
      <c r="K10" s="52"/>
      <c r="L10" s="52"/>
      <c r="M10" s="53"/>
    </row>
    <row r="12" spans="2:13" hidden="1">
      <c r="B12" s="41" t="s">
        <v>9</v>
      </c>
      <c r="C12" s="49"/>
      <c r="D12" s="49"/>
      <c r="E12" s="49"/>
      <c r="F12" s="49"/>
      <c r="G12" s="50"/>
      <c r="H12" s="43" t="s">
        <v>10</v>
      </c>
      <c r="I12" s="49"/>
      <c r="J12" s="49"/>
      <c r="K12" s="49"/>
      <c r="L12" s="49"/>
      <c r="M12" s="50"/>
    </row>
    <row r="13" spans="2:13" hidden="1">
      <c r="B13" s="58"/>
      <c r="C13" s="59"/>
      <c r="D13" s="59"/>
      <c r="E13" s="59"/>
      <c r="F13" s="59"/>
      <c r="G13" s="60"/>
      <c r="H13" s="58"/>
      <c r="I13" s="59"/>
      <c r="J13" s="59"/>
      <c r="K13" s="59"/>
      <c r="L13" s="59"/>
      <c r="M13" s="60"/>
    </row>
    <row r="14" spans="2:13" hidden="1">
      <c r="B14" s="58"/>
      <c r="C14" s="59"/>
      <c r="D14" s="59"/>
      <c r="E14" s="59"/>
      <c r="F14" s="59"/>
      <c r="G14" s="60"/>
      <c r="H14" s="58"/>
      <c r="I14" s="59"/>
      <c r="J14" s="59"/>
      <c r="K14" s="59"/>
      <c r="L14" s="59"/>
      <c r="M14" s="60"/>
    </row>
    <row r="15" spans="2:13" hidden="1">
      <c r="B15" s="58"/>
      <c r="C15" s="59"/>
      <c r="D15" s="59"/>
      <c r="E15" s="59"/>
      <c r="F15" s="59"/>
      <c r="G15" s="60"/>
      <c r="H15" s="58"/>
      <c r="I15" s="59"/>
      <c r="J15" s="59"/>
      <c r="K15" s="59"/>
      <c r="L15" s="59"/>
      <c r="M15" s="60"/>
    </row>
    <row r="16" spans="2:13" hidden="1">
      <c r="B16" s="58"/>
      <c r="C16" s="59"/>
      <c r="D16" s="59"/>
      <c r="E16" s="59"/>
      <c r="F16" s="59"/>
      <c r="G16" s="60"/>
      <c r="H16" s="58"/>
      <c r="I16" s="59"/>
      <c r="J16" s="59"/>
      <c r="K16" s="59"/>
      <c r="L16" s="59"/>
      <c r="M16" s="60"/>
    </row>
    <row r="17" spans="2:13" hidden="1">
      <c r="B17" s="58"/>
      <c r="C17" s="59"/>
      <c r="D17" s="59"/>
      <c r="E17" s="59"/>
      <c r="F17" s="59"/>
      <c r="G17" s="60"/>
      <c r="H17" s="58"/>
      <c r="I17" s="59"/>
      <c r="J17" s="59"/>
      <c r="K17" s="59"/>
      <c r="L17" s="59"/>
      <c r="M17" s="60"/>
    </row>
    <row r="18" spans="2:13" hidden="1">
      <c r="B18" s="58"/>
      <c r="C18" s="59"/>
      <c r="D18" s="59"/>
      <c r="E18" s="59"/>
      <c r="F18" s="59"/>
      <c r="G18" s="60"/>
      <c r="H18" s="58"/>
      <c r="I18" s="59"/>
      <c r="J18" s="59"/>
      <c r="K18" s="59"/>
      <c r="L18" s="59"/>
      <c r="M18" s="60"/>
    </row>
    <row r="19" spans="2:13" hidden="1">
      <c r="B19" s="51"/>
      <c r="C19" s="52"/>
      <c r="D19" s="52"/>
      <c r="E19" s="52"/>
      <c r="F19" s="52"/>
      <c r="G19" s="53"/>
      <c r="H19" s="51"/>
      <c r="I19" s="52"/>
      <c r="J19" s="52"/>
      <c r="K19" s="52"/>
      <c r="L19" s="52"/>
      <c r="M19" s="53"/>
    </row>
    <row r="21" spans="2:13" ht="17.100000000000001" customHeight="1">
      <c r="B21" s="2" t="s">
        <v>11</v>
      </c>
      <c r="C21" s="2"/>
      <c r="D21" s="2"/>
      <c r="E21" s="2"/>
      <c r="G21" s="39" t="s">
        <v>12</v>
      </c>
      <c r="H21" s="49"/>
      <c r="I21" s="49"/>
      <c r="J21" s="49"/>
      <c r="K21" s="49"/>
      <c r="L21" s="49"/>
      <c r="M21" s="50"/>
    </row>
    <row r="22" spans="2:13" ht="15.95" customHeight="1">
      <c r="B22" s="3" t="s">
        <v>13</v>
      </c>
      <c r="C22" s="3" t="s">
        <v>14</v>
      </c>
      <c r="D22" s="3" t="s">
        <v>15</v>
      </c>
      <c r="E22" s="3" t="s">
        <v>16</v>
      </c>
      <c r="G22" s="58"/>
      <c r="H22" s="59"/>
      <c r="I22" s="59"/>
      <c r="J22" s="59"/>
      <c r="K22" s="59"/>
      <c r="L22" s="59"/>
      <c r="M22" s="60"/>
    </row>
    <row r="23" spans="2:13" ht="94.9" customHeight="1">
      <c r="B23" s="4" t="str">
        <f>Action_Backlog!B3</f>
        <v>พระราชกฤษฎีกา กำหนดระยะเวลาเริ่มดำเนินการจัดเก็บเงินสะสมและเงินสมทบกองทุนสงเคราะห์ลูกจ้าง พ.ศ. 2567</v>
      </c>
      <c r="C23" s="4" t="str">
        <f>Action_Backlog!C3</f>
        <v>กฎหมายคุ้มครองแรงงาน</v>
      </c>
      <c r="D23" s="4" t="str">
        <f>Action_Backlog!D3</f>
        <v>Evaluated</v>
      </c>
      <c r="E23" s="4" t="str">
        <f>Action_Backlog!E3</f>
        <v>Active</v>
      </c>
      <c r="G23" s="58"/>
      <c r="H23" s="59"/>
      <c r="I23" s="59"/>
      <c r="J23" s="59"/>
      <c r="K23" s="59"/>
      <c r="L23" s="59"/>
      <c r="M23" s="60"/>
    </row>
    <row r="24" spans="2:13" ht="94.9" customHeight="1">
      <c r="B24" s="4" t="str">
        <f>Action_Backlog!B4</f>
        <v>กฎกระทรวง กำหนดค่าล่วงเวลาและค่าตอบแทนการทำงานที่เกินวันละแปดชั่วโมง ในงานเฝ้าดูแลสถานที่หรือทรัพย์สินอันเป็นหน้าที่การทำงานปกติของลูกจ้าง พ.ศ. 2568</v>
      </c>
      <c r="C24" s="4" t="str">
        <f>Action_Backlog!C4</f>
        <v>กฎหมายคุ้มครองแรงงาน</v>
      </c>
      <c r="D24" s="4" t="str">
        <f>Action_Backlog!D4</f>
        <v>Evaluated</v>
      </c>
      <c r="E24" s="4" t="str">
        <f>Action_Backlog!E4</f>
        <v>Active</v>
      </c>
      <c r="G24" s="58"/>
      <c r="H24" s="59"/>
      <c r="I24" s="59"/>
      <c r="J24" s="59"/>
      <c r="K24" s="59"/>
      <c r="L24" s="59"/>
      <c r="M24" s="60"/>
    </row>
    <row r="25" spans="2:13" ht="94.9" customHeight="1">
      <c r="B25" s="4" t="str">
        <f>Action_Backlog!B5</f>
        <v>กฎกระทรวง กำหนดประเภทของสถานประกอบกิจการและการดำเนินการของสถานประกอบกิจการในการป้องกันและแก้ไขปัญหาการตั้งครรภ์ในวัยรุ่นแก่ลูกจ้างซึ่งเป็นวัยรุ่น พ.ศ. 2561</v>
      </c>
      <c r="C25" s="4" t="str">
        <f>Action_Backlog!C5</f>
        <v>กฎหมาย อื่น ๆ</v>
      </c>
      <c r="D25" s="4" t="str">
        <f>Action_Backlog!D5</f>
        <v>Evaluated</v>
      </c>
      <c r="E25" s="4" t="str">
        <f>Action_Backlog!E5</f>
        <v>Active</v>
      </c>
      <c r="G25" s="58"/>
      <c r="H25" s="59"/>
      <c r="I25" s="59"/>
      <c r="J25" s="59"/>
      <c r="K25" s="59"/>
      <c r="L25" s="59"/>
      <c r="M25" s="60"/>
    </row>
    <row r="26" spans="2:13" ht="94.9" customHeight="1">
      <c r="B26" s="6" t="str">
        <f>Action_Backlog!B6</f>
        <v>กฎกระทรวง กำหนดหลักเกณฑ์และวิธีการจัดการสงเคราะห์แก่ลูกจ้าง ในกรณีที่ลูกจ้างออกจากงานหรือตาย พ.ศ. 2567</v>
      </c>
      <c r="C26" s="6" t="str">
        <f>Action_Backlog!C6</f>
        <v>กฎหมายคุ้มครองแรงงาน</v>
      </c>
      <c r="D26" s="6" t="str">
        <f>Action_Backlog!D6</f>
        <v>Implemented</v>
      </c>
      <c r="E26" s="6" t="str">
        <f>Action_Backlog!E6</f>
        <v>Inactive</v>
      </c>
      <c r="G26" s="58"/>
      <c r="H26" s="59"/>
      <c r="I26" s="59"/>
      <c r="J26" s="59"/>
      <c r="K26" s="59"/>
      <c r="L26" s="59"/>
      <c r="M26" s="60"/>
    </row>
    <row r="27" spans="2:13" ht="94.9" customHeight="1">
      <c r="B27" s="6" t="str">
        <f>Action_Backlog!B7</f>
        <v>กฎกระทรวง กำหนดอัตราเงินสะสมและเงินสมทบกองทุนสงเคราะห์ลูกจ้าง พ.ศ. 2567</v>
      </c>
      <c r="C27" s="6" t="str">
        <f>Action_Backlog!C7</f>
        <v>กฎหมายคุ้มครองแรงงาน</v>
      </c>
      <c r="D27" s="6" t="str">
        <f>Action_Backlog!D7</f>
        <v>Evaluated</v>
      </c>
      <c r="E27" s="6" t="str">
        <f>Action_Backlog!E7</f>
        <v>Inactive</v>
      </c>
      <c r="G27" s="51"/>
      <c r="H27" s="52"/>
      <c r="I27" s="52"/>
      <c r="J27" s="52"/>
      <c r="K27" s="52"/>
      <c r="L27" s="52"/>
      <c r="M27" s="53"/>
    </row>
  </sheetData>
  <mergeCells count="19">
    <mergeCell ref="G21:M27"/>
    <mergeCell ref="E6:G6"/>
    <mergeCell ref="B10:D10"/>
    <mergeCell ref="B12:G19"/>
    <mergeCell ref="B9:D9"/>
    <mergeCell ref="B6:D6"/>
    <mergeCell ref="H12:M19"/>
    <mergeCell ref="I9:M10"/>
    <mergeCell ref="B2:M3"/>
    <mergeCell ref="B5:M5"/>
    <mergeCell ref="K6:M6"/>
    <mergeCell ref="B4:M4"/>
    <mergeCell ref="E10:H10"/>
    <mergeCell ref="H7:J8"/>
    <mergeCell ref="E9:H9"/>
    <mergeCell ref="E7:G8"/>
    <mergeCell ref="H6:J6"/>
    <mergeCell ref="K7:M8"/>
    <mergeCell ref="B7:D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05057"/>
  </sheetPr>
  <dimension ref="A1:M6"/>
  <sheetViews>
    <sheetView showGridLines="0" zoomScale="90" workbookViewId="0">
      <pane ySplit="5" topLeftCell="A6" activePane="bottomLeft" state="frozen"/>
      <selection pane="bottomLeft" activeCell="D10" sqref="D10"/>
    </sheetView>
  </sheetViews>
  <sheetFormatPr defaultColWidth="8.85546875" defaultRowHeight="14.45"/>
  <cols>
    <col min="1" max="1" width="16" customWidth="1"/>
    <col min="2" max="2" width="6" customWidth="1"/>
    <col min="3" max="3" width="20" customWidth="1"/>
    <col min="4" max="4" width="18" customWidth="1"/>
    <col min="5" max="5" width="55" customWidth="1"/>
    <col min="6" max="6" width="16" customWidth="1"/>
    <col min="7" max="7" width="30" customWidth="1"/>
    <col min="8" max="8" width="75" customWidth="1"/>
    <col min="9" max="9" width="18" customWidth="1"/>
    <col min="10" max="10" width="16" customWidth="1"/>
    <col min="11" max="11" width="55" customWidth="1"/>
    <col min="12" max="12" width="14" customWidth="1"/>
    <col min="13" max="13" width="12" customWidth="1"/>
  </cols>
  <sheetData>
    <row r="1" spans="1:13" ht="18">
      <c r="A1" s="46" t="s">
        <v>17</v>
      </c>
      <c r="B1" s="59"/>
      <c r="C1" s="59"/>
      <c r="D1" s="59"/>
      <c r="E1" s="59"/>
      <c r="F1" s="59"/>
      <c r="G1" s="59"/>
      <c r="H1" s="59"/>
      <c r="I1" s="59"/>
      <c r="J1" s="59"/>
      <c r="K1" s="59"/>
      <c r="L1" s="59"/>
      <c r="M1" s="59"/>
    </row>
    <row r="2" spans="1:13">
      <c r="A2" s="45" t="s">
        <v>18</v>
      </c>
      <c r="B2" s="59"/>
      <c r="C2" s="59"/>
      <c r="D2" s="59"/>
      <c r="E2" s="59"/>
      <c r="F2" s="59"/>
      <c r="G2" s="59"/>
      <c r="H2" s="59"/>
      <c r="I2" s="59"/>
      <c r="J2" s="59"/>
      <c r="K2" s="59"/>
      <c r="L2" s="59"/>
      <c r="M2" s="59"/>
    </row>
    <row r="3" spans="1:13">
      <c r="A3" s="61" t="s">
        <v>19</v>
      </c>
      <c r="B3" s="62">
        <f>COUNTA($B$6:$B$1048576)</f>
        <v>1</v>
      </c>
      <c r="C3" s="63" t="s">
        <v>20</v>
      </c>
      <c r="D3" s="64"/>
      <c r="E3" s="64"/>
      <c r="F3" s="64"/>
      <c r="G3" s="64"/>
      <c r="H3" s="64"/>
      <c r="I3" s="64"/>
      <c r="J3" s="64"/>
      <c r="K3" s="64"/>
      <c r="L3" s="64"/>
      <c r="M3" s="64"/>
    </row>
    <row r="5" spans="1:13">
      <c r="A5" s="11" t="s">
        <v>21</v>
      </c>
      <c r="B5" s="11" t="s">
        <v>22</v>
      </c>
      <c r="C5" s="11" t="s">
        <v>14</v>
      </c>
      <c r="D5" s="11" t="s">
        <v>23</v>
      </c>
      <c r="E5" s="11" t="s">
        <v>24</v>
      </c>
      <c r="F5" s="11" t="s">
        <v>25</v>
      </c>
      <c r="G5" s="11" t="s">
        <v>26</v>
      </c>
      <c r="H5" s="11" t="s">
        <v>27</v>
      </c>
      <c r="I5" s="11" t="s">
        <v>28</v>
      </c>
      <c r="J5" s="11" t="s">
        <v>29</v>
      </c>
      <c r="K5" s="11" t="s">
        <v>30</v>
      </c>
      <c r="L5" s="11" t="s">
        <v>31</v>
      </c>
      <c r="M5" s="11" t="s">
        <v>32</v>
      </c>
    </row>
    <row r="6" spans="1:13" ht="15.6">
      <c r="A6" s="1" t="s">
        <v>33</v>
      </c>
      <c r="B6" s="1">
        <v>57</v>
      </c>
      <c r="C6" s="1" t="s">
        <v>34</v>
      </c>
      <c r="D6" s="1">
        <v>102381</v>
      </c>
      <c r="E6" s="1" t="s">
        <v>35</v>
      </c>
      <c r="F6" s="5">
        <v>46357</v>
      </c>
      <c r="G6" s="14" t="s">
        <v>36</v>
      </c>
      <c r="H6" s="1" t="s">
        <v>37</v>
      </c>
      <c r="I6" s="1" t="s">
        <v>4</v>
      </c>
      <c r="J6" s="1" t="s">
        <v>38</v>
      </c>
      <c r="K6" s="1" t="s">
        <v>39</v>
      </c>
      <c r="L6" s="1" t="s">
        <v>40</v>
      </c>
      <c r="M6" s="1">
        <v>3</v>
      </c>
    </row>
  </sheetData>
  <autoFilter ref="A5:M6" xr:uid="{00000000-0009-0000-0000-000003000000}"/>
  <mergeCells count="3">
    <mergeCell ref="A2:M2"/>
    <mergeCell ref="A1:M1"/>
    <mergeCell ref="C3:M3"/>
  </mergeCells>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05057"/>
  </sheetPr>
  <dimension ref="A1:M6"/>
  <sheetViews>
    <sheetView showGridLines="0" zoomScale="90" workbookViewId="0">
      <pane ySplit="5" topLeftCell="A6" activePane="bottomLeft" state="frozen"/>
      <selection pane="bottomLeft" activeCell="C10" sqref="C10"/>
    </sheetView>
  </sheetViews>
  <sheetFormatPr defaultColWidth="8.85546875" defaultRowHeight="14.45"/>
  <cols>
    <col min="1" max="1" width="16" customWidth="1"/>
    <col min="2" max="2" width="6" customWidth="1"/>
    <col min="3" max="3" width="20" customWidth="1"/>
    <col min="4" max="4" width="18" customWidth="1"/>
    <col min="5" max="5" width="55" customWidth="1"/>
    <col min="6" max="6" width="16" customWidth="1"/>
    <col min="7" max="7" width="30" customWidth="1"/>
    <col min="8" max="8" width="75" customWidth="1"/>
    <col min="9" max="9" width="18" customWidth="1"/>
    <col min="10" max="10" width="16" customWidth="1"/>
    <col min="11" max="11" width="55" customWidth="1"/>
    <col min="12" max="12" width="14" customWidth="1"/>
    <col min="13" max="13" width="12" customWidth="1"/>
  </cols>
  <sheetData>
    <row r="1" spans="1:13" ht="18">
      <c r="A1" s="46" t="s">
        <v>41</v>
      </c>
      <c r="B1" s="59"/>
      <c r="C1" s="59"/>
      <c r="D1" s="59"/>
      <c r="E1" s="59"/>
      <c r="F1" s="59"/>
      <c r="G1" s="59"/>
      <c r="H1" s="59"/>
      <c r="I1" s="59"/>
      <c r="J1" s="59"/>
      <c r="K1" s="59"/>
      <c r="L1" s="59"/>
      <c r="M1" s="59"/>
    </row>
    <row r="2" spans="1:13">
      <c r="A2" s="45" t="s">
        <v>42</v>
      </c>
      <c r="B2" s="59"/>
      <c r="C2" s="59"/>
      <c r="D2" s="59"/>
      <c r="E2" s="59"/>
      <c r="F2" s="59"/>
      <c r="G2" s="59"/>
      <c r="H2" s="59"/>
      <c r="I2" s="59"/>
      <c r="J2" s="59"/>
      <c r="K2" s="59"/>
      <c r="L2" s="59"/>
      <c r="M2" s="59"/>
    </row>
    <row r="3" spans="1:13">
      <c r="A3" s="61" t="s">
        <v>19</v>
      </c>
      <c r="B3" s="62">
        <f>COUNTA($B$6:$B$1048576)</f>
        <v>1</v>
      </c>
      <c r="C3" s="63" t="s">
        <v>20</v>
      </c>
      <c r="D3" s="64"/>
      <c r="E3" s="64"/>
      <c r="F3" s="64"/>
      <c r="G3" s="64"/>
      <c r="H3" s="64"/>
      <c r="I3" s="64"/>
      <c r="J3" s="64"/>
      <c r="K3" s="64"/>
      <c r="L3" s="64"/>
      <c r="M3" s="64"/>
    </row>
    <row r="5" spans="1:13">
      <c r="A5" s="11" t="s">
        <v>21</v>
      </c>
      <c r="B5" s="11" t="s">
        <v>22</v>
      </c>
      <c r="C5" s="11" t="s">
        <v>14</v>
      </c>
      <c r="D5" s="11" t="s">
        <v>23</v>
      </c>
      <c r="E5" s="11" t="s">
        <v>24</v>
      </c>
      <c r="F5" s="11" t="s">
        <v>25</v>
      </c>
      <c r="G5" s="11" t="s">
        <v>26</v>
      </c>
      <c r="H5" s="11" t="s">
        <v>27</v>
      </c>
      <c r="I5" s="11" t="s">
        <v>28</v>
      </c>
      <c r="J5" s="11" t="s">
        <v>29</v>
      </c>
      <c r="K5" s="11" t="s">
        <v>30</v>
      </c>
      <c r="L5" s="11" t="s">
        <v>31</v>
      </c>
      <c r="M5" s="11" t="s">
        <v>32</v>
      </c>
    </row>
    <row r="6" spans="1:13" ht="15.6">
      <c r="A6" s="1" t="s">
        <v>33</v>
      </c>
      <c r="B6" s="1">
        <v>57</v>
      </c>
      <c r="C6" s="1" t="s">
        <v>34</v>
      </c>
      <c r="D6" s="1">
        <v>102381</v>
      </c>
      <c r="E6" s="1" t="s">
        <v>35</v>
      </c>
      <c r="F6" s="5">
        <v>46357</v>
      </c>
      <c r="G6" s="14" t="s">
        <v>36</v>
      </c>
      <c r="H6" s="1" t="s">
        <v>37</v>
      </c>
      <c r="I6" s="1" t="s">
        <v>4</v>
      </c>
      <c r="J6" s="1" t="s">
        <v>38</v>
      </c>
      <c r="K6" s="1" t="s">
        <v>39</v>
      </c>
      <c r="L6" s="1" t="s">
        <v>40</v>
      </c>
      <c r="M6" s="1">
        <v>3</v>
      </c>
    </row>
  </sheetData>
  <autoFilter ref="A5:M6" xr:uid="{00000000-0009-0000-0000-000004000000}"/>
  <mergeCells count="3">
    <mergeCell ref="A2:M2"/>
    <mergeCell ref="A1:M1"/>
    <mergeCell ref="C3:M3"/>
  </mergeCells>
  <pageMargins left="0.7" right="0.7" top="0.75" bottom="0.75" header="0.3" footer="0.3"/>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05057"/>
  </sheetPr>
  <dimension ref="A1:M11"/>
  <sheetViews>
    <sheetView showGridLines="0" zoomScale="90" workbookViewId="0">
      <pane ySplit="5" topLeftCell="A6" activePane="bottomLeft" state="frozen"/>
      <selection pane="bottomLeft" activeCell="D14" sqref="D14"/>
    </sheetView>
  </sheetViews>
  <sheetFormatPr defaultColWidth="8.85546875" defaultRowHeight="14.45"/>
  <cols>
    <col min="1" max="1" width="16" customWidth="1"/>
    <col min="2" max="2" width="6" customWidth="1"/>
    <col min="3" max="3" width="20" customWidth="1"/>
    <col min="4" max="4" width="18" customWidth="1"/>
    <col min="5" max="5" width="55" customWidth="1"/>
    <col min="6" max="6" width="16" style="15" customWidth="1"/>
    <col min="7" max="7" width="30" customWidth="1"/>
    <col min="8" max="8" width="75" customWidth="1"/>
    <col min="9" max="9" width="18" customWidth="1"/>
    <col min="10" max="10" width="16" customWidth="1"/>
    <col min="11" max="11" width="55" customWidth="1"/>
    <col min="12" max="12" width="14" customWidth="1"/>
    <col min="13" max="13" width="12" customWidth="1"/>
  </cols>
  <sheetData>
    <row r="1" spans="1:13" ht="18">
      <c r="A1" s="46" t="s">
        <v>43</v>
      </c>
      <c r="B1" s="59"/>
      <c r="C1" s="59"/>
      <c r="D1" s="59"/>
      <c r="E1" s="59"/>
      <c r="F1" s="59"/>
      <c r="G1" s="59"/>
      <c r="H1" s="59"/>
      <c r="I1" s="59"/>
      <c r="J1" s="59"/>
      <c r="K1" s="59"/>
      <c r="L1" s="59"/>
      <c r="M1" s="59"/>
    </row>
    <row r="2" spans="1:13">
      <c r="A2" s="45" t="s">
        <v>44</v>
      </c>
      <c r="B2" s="59"/>
      <c r="C2" s="59"/>
      <c r="D2" s="59"/>
      <c r="E2" s="59"/>
      <c r="F2" s="59"/>
      <c r="G2" s="59"/>
      <c r="H2" s="59"/>
      <c r="I2" s="59"/>
      <c r="J2" s="59"/>
      <c r="K2" s="59"/>
      <c r="L2" s="59"/>
      <c r="M2" s="59"/>
    </row>
    <row r="3" spans="1:13">
      <c r="A3" s="61" t="s">
        <v>19</v>
      </c>
      <c r="B3" s="62">
        <f>COUNTA($B$6:$B$1048576)</f>
        <v>6</v>
      </c>
      <c r="C3" s="63" t="s">
        <v>20</v>
      </c>
      <c r="D3" s="64"/>
      <c r="E3" s="64"/>
      <c r="F3" s="64"/>
      <c r="G3" s="64"/>
      <c r="H3" s="64"/>
      <c r="I3" s="64"/>
      <c r="J3" s="64"/>
      <c r="K3" s="64"/>
      <c r="L3" s="64"/>
      <c r="M3" s="64"/>
    </row>
    <row r="5" spans="1:13">
      <c r="A5" s="11" t="s">
        <v>21</v>
      </c>
      <c r="B5" s="11" t="s">
        <v>22</v>
      </c>
      <c r="C5" s="11" t="s">
        <v>14</v>
      </c>
      <c r="D5" s="11" t="s">
        <v>23</v>
      </c>
      <c r="E5" s="11" t="s">
        <v>24</v>
      </c>
      <c r="F5" s="11" t="s">
        <v>25</v>
      </c>
      <c r="G5" s="11" t="s">
        <v>26</v>
      </c>
      <c r="H5" s="11" t="s">
        <v>27</v>
      </c>
      <c r="I5" s="11" t="s">
        <v>28</v>
      </c>
      <c r="J5" s="11" t="s">
        <v>29</v>
      </c>
      <c r="K5" s="11" t="s">
        <v>30</v>
      </c>
      <c r="L5" s="11" t="s">
        <v>31</v>
      </c>
      <c r="M5" s="11" t="s">
        <v>32</v>
      </c>
    </row>
    <row r="6" spans="1:13" ht="15.6">
      <c r="A6" s="1" t="s">
        <v>33</v>
      </c>
      <c r="B6" s="1">
        <v>57</v>
      </c>
      <c r="C6" s="1" t="s">
        <v>34</v>
      </c>
      <c r="D6" s="1">
        <v>102381</v>
      </c>
      <c r="E6" s="1" t="s">
        <v>35</v>
      </c>
      <c r="F6" s="16">
        <v>46357</v>
      </c>
      <c r="G6" s="14" t="s">
        <v>36</v>
      </c>
      <c r="H6" s="1" t="s">
        <v>37</v>
      </c>
      <c r="I6" s="1" t="s">
        <v>4</v>
      </c>
      <c r="J6" s="1" t="s">
        <v>38</v>
      </c>
      <c r="K6" s="1" t="s">
        <v>39</v>
      </c>
      <c r="L6" s="1" t="s">
        <v>40</v>
      </c>
      <c r="M6" s="1">
        <v>3</v>
      </c>
    </row>
    <row r="7" spans="1:13" ht="15.6">
      <c r="A7" s="1" t="s">
        <v>45</v>
      </c>
      <c r="B7" s="1">
        <v>53</v>
      </c>
      <c r="C7" s="1" t="s">
        <v>46</v>
      </c>
      <c r="D7" s="1">
        <v>99072</v>
      </c>
      <c r="E7" s="1" t="s">
        <v>47</v>
      </c>
      <c r="F7" s="16">
        <v>46266</v>
      </c>
      <c r="G7" s="14" t="s">
        <v>48</v>
      </c>
      <c r="H7" s="1" t="s">
        <v>49</v>
      </c>
      <c r="I7" s="1" t="s">
        <v>4</v>
      </c>
      <c r="J7" s="1" t="s">
        <v>38</v>
      </c>
      <c r="K7" s="1" t="s">
        <v>50</v>
      </c>
      <c r="L7" s="1" t="s">
        <v>40</v>
      </c>
      <c r="M7" s="1">
        <v>3</v>
      </c>
    </row>
    <row r="8" spans="1:13" ht="15.6">
      <c r="A8" s="1" t="s">
        <v>45</v>
      </c>
      <c r="B8" s="1">
        <v>54</v>
      </c>
      <c r="C8" s="1" t="s">
        <v>46</v>
      </c>
      <c r="D8" s="1">
        <v>99070</v>
      </c>
      <c r="E8" s="1" t="s">
        <v>51</v>
      </c>
      <c r="F8" s="16">
        <v>46266</v>
      </c>
      <c r="G8" s="14" t="s">
        <v>52</v>
      </c>
      <c r="H8" s="1" t="s">
        <v>53</v>
      </c>
      <c r="I8" s="1" t="s">
        <v>4</v>
      </c>
      <c r="J8" s="1" t="s">
        <v>38</v>
      </c>
      <c r="K8" s="1" t="s">
        <v>54</v>
      </c>
      <c r="L8" s="1" t="s">
        <v>40</v>
      </c>
      <c r="M8" s="1">
        <v>3</v>
      </c>
    </row>
    <row r="9" spans="1:13" ht="15.6">
      <c r="A9" s="1" t="s">
        <v>33</v>
      </c>
      <c r="B9" s="1">
        <v>56</v>
      </c>
      <c r="C9" s="1" t="s">
        <v>34</v>
      </c>
      <c r="D9" s="1">
        <v>102373</v>
      </c>
      <c r="E9" s="1" t="s">
        <v>55</v>
      </c>
      <c r="F9" s="16">
        <v>46083</v>
      </c>
      <c r="G9" s="14" t="s">
        <v>56</v>
      </c>
      <c r="H9" s="1" t="s">
        <v>57</v>
      </c>
      <c r="I9" s="1" t="s">
        <v>4</v>
      </c>
      <c r="J9" s="1" t="s">
        <v>38</v>
      </c>
      <c r="K9" s="1" t="s">
        <v>58</v>
      </c>
      <c r="L9" s="1" t="s">
        <v>40</v>
      </c>
      <c r="M9" s="1">
        <v>3</v>
      </c>
    </row>
    <row r="10" spans="1:13" ht="15.6">
      <c r="A10" s="1" t="s">
        <v>59</v>
      </c>
      <c r="B10" s="1">
        <v>52</v>
      </c>
      <c r="C10" s="1" t="s">
        <v>60</v>
      </c>
      <c r="D10" s="1">
        <v>101869</v>
      </c>
      <c r="E10" s="1" t="s">
        <v>61</v>
      </c>
      <c r="F10" s="16" t="s">
        <v>62</v>
      </c>
      <c r="G10" s="14" t="s">
        <v>63</v>
      </c>
      <c r="H10" s="1" t="s">
        <v>64</v>
      </c>
      <c r="I10" s="1" t="s">
        <v>4</v>
      </c>
      <c r="J10" s="1" t="s">
        <v>38</v>
      </c>
      <c r="K10" s="1" t="s">
        <v>65</v>
      </c>
      <c r="L10" s="1" t="s">
        <v>40</v>
      </c>
      <c r="M10" s="1">
        <v>3</v>
      </c>
    </row>
    <row r="11" spans="1:13" ht="15.6">
      <c r="A11" s="1" t="s">
        <v>33</v>
      </c>
      <c r="B11" s="1">
        <v>55</v>
      </c>
      <c r="C11" s="1" t="s">
        <v>34</v>
      </c>
      <c r="D11" s="1">
        <v>101606</v>
      </c>
      <c r="E11" s="1" t="s">
        <v>66</v>
      </c>
      <c r="F11" s="16" t="s">
        <v>67</v>
      </c>
      <c r="G11" s="14" t="s">
        <v>68</v>
      </c>
      <c r="H11" s="1" t="s">
        <v>69</v>
      </c>
      <c r="I11" s="1" t="s">
        <v>4</v>
      </c>
      <c r="J11" s="1" t="s">
        <v>38</v>
      </c>
      <c r="K11" s="1" t="s">
        <v>70</v>
      </c>
      <c r="L11" s="1" t="s">
        <v>40</v>
      </c>
      <c r="M11" s="1">
        <v>3</v>
      </c>
    </row>
  </sheetData>
  <autoFilter ref="A5:M11" xr:uid="{00000000-0009-0000-0000-000005000000}"/>
  <mergeCells count="3">
    <mergeCell ref="A2:M2"/>
    <mergeCell ref="A1:M1"/>
    <mergeCell ref="C3:M3"/>
  </mergeCells>
  <pageMargins left="0.7" right="0.7"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98C8B"/>
  </sheetPr>
  <dimension ref="A1:Z75"/>
  <sheetViews>
    <sheetView showGridLines="0" workbookViewId="0">
      <selection sqref="A1:XFD1048576"/>
    </sheetView>
  </sheetViews>
  <sheetFormatPr defaultColWidth="8.85546875" defaultRowHeight="14.45"/>
  <cols>
    <col min="1" max="1" width="10" style="18" customWidth="1"/>
    <col min="2" max="2" width="6" style="18" customWidth="1"/>
    <col min="3" max="3" width="50" style="18" customWidth="1"/>
    <col min="4" max="4" width="28" style="18" customWidth="1"/>
    <col min="5" max="5" width="16" style="18" customWidth="1"/>
    <col min="6" max="6" width="10" style="18" customWidth="1"/>
    <col min="7" max="7" width="12" style="18" customWidth="1"/>
    <col min="8" max="8" width="18" style="18" customWidth="1"/>
    <col min="9" max="10" width="14" style="18" customWidth="1"/>
    <col min="11" max="11" width="12" style="18" customWidth="1"/>
    <col min="12" max="12" width="10" style="18" customWidth="1"/>
    <col min="13" max="13" width="20" style="18" customWidth="1"/>
    <col min="14" max="16" width="12" style="18" customWidth="1"/>
    <col min="17" max="18" width="10" style="18" customWidth="1"/>
    <col min="19" max="23" width="12" style="18" customWidth="1"/>
    <col min="24" max="24" width="25" style="18" customWidth="1"/>
    <col min="25" max="25" width="14" style="23" customWidth="1"/>
    <col min="26" max="26" width="16" style="18" customWidth="1"/>
    <col min="27" max="16384" width="8.85546875" style="18"/>
  </cols>
  <sheetData>
    <row r="1" spans="1:26">
      <c r="A1" s="17" t="s">
        <v>71</v>
      </c>
      <c r="B1" s="17" t="s">
        <v>22</v>
      </c>
      <c r="C1" s="17" t="s">
        <v>72</v>
      </c>
      <c r="D1" s="17" t="s">
        <v>14</v>
      </c>
      <c r="E1" s="17" t="s">
        <v>73</v>
      </c>
      <c r="F1" s="17" t="s">
        <v>74</v>
      </c>
      <c r="G1" s="17" t="s">
        <v>75</v>
      </c>
      <c r="H1" s="17" t="s">
        <v>76</v>
      </c>
      <c r="I1" s="17" t="s">
        <v>77</v>
      </c>
      <c r="J1" s="17" t="s">
        <v>78</v>
      </c>
      <c r="K1" s="17" t="s">
        <v>79</v>
      </c>
      <c r="L1" s="17" t="s">
        <v>80</v>
      </c>
      <c r="M1" s="17" t="s">
        <v>81</v>
      </c>
      <c r="N1" s="17" t="s">
        <v>82</v>
      </c>
      <c r="O1" s="17" t="s">
        <v>83</v>
      </c>
      <c r="P1" s="17" t="s">
        <v>84</v>
      </c>
      <c r="Q1" s="17" t="s">
        <v>85</v>
      </c>
      <c r="R1" s="17" t="s">
        <v>86</v>
      </c>
      <c r="S1" s="17" t="s">
        <v>87</v>
      </c>
      <c r="T1" s="17" t="s">
        <v>88</v>
      </c>
      <c r="U1" s="17" t="s">
        <v>89</v>
      </c>
      <c r="V1" s="17" t="s">
        <v>90</v>
      </c>
      <c r="W1" s="17" t="s">
        <v>91</v>
      </c>
      <c r="X1" s="17" t="s">
        <v>92</v>
      </c>
      <c r="Y1" s="17" t="s">
        <v>93</v>
      </c>
      <c r="Z1" s="17" t="s">
        <v>94</v>
      </c>
    </row>
    <row r="2" spans="1:26">
      <c r="A2" s="19">
        <v>2</v>
      </c>
      <c r="B2" s="19">
        <f>Raw_Data_Copy!B2</f>
        <v>1</v>
      </c>
      <c r="C2" s="19" t="str">
        <f>Raw_Data_Copy!E2</f>
        <v>พระราชบัญญัติคุ้มครองแรงงาน พ.ศ. 2541 และที่แก้ไขเพิ่มเติม</v>
      </c>
      <c r="D2" s="19" t="str">
        <f>Raw_Data_Copy!C2</f>
        <v>กฎหมายคุ้มครองแรงงาน</v>
      </c>
      <c r="E2" s="20" t="str">
        <f>Raw_Data_Copy!F2</f>
        <v>2/20/1998</v>
      </c>
      <c r="F2" s="19" t="e">
        <f t="shared" ref="F2:F33" si="0">IF(E2="","",YEAR(E2))</f>
        <v>#VALUE!</v>
      </c>
      <c r="G2" s="19" t="str">
        <f t="shared" ref="G2:G33" si="1">IF(E2="","",TEXT(E2,"yyyy-mm"))</f>
        <v>2/20/1998</v>
      </c>
      <c r="H2" s="19" t="str">
        <f>Raw_Data_Copy!I2</f>
        <v>Implemented</v>
      </c>
      <c r="I2" s="19" t="str">
        <f t="shared" ref="I2:I33" si="2">IF(H2="","",IF(OR(LOWER(TRIM(H2))="implemented",LOWER(TRIM(H2))="implement"),"Implemented",IF(LOWER(TRIM(H2))="identified","Identified",IF(LOWER(TRIM(H2))="evaluated","Evaluated",IF(LOWER(TRIM(H2))="under review","Under Review",H2)))))</f>
        <v>Implemented</v>
      </c>
      <c r="J2" s="19" t="str">
        <f>Raw_Data_Copy!L2</f>
        <v>Active</v>
      </c>
      <c r="K2" s="19" t="str">
        <f t="shared" ref="K2:K33" si="3">IF(J2="","",IF(LOWER(TRIM(J2))="active","Active",IF(LOWER(TRIM(J2))="inactive","Inactive",J2)))</f>
        <v>Active</v>
      </c>
      <c r="L2" s="19" t="str">
        <f>Raw_Data_Copy!J2</f>
        <v>จริง</v>
      </c>
      <c r="M2" s="19" t="str">
        <f>Raw_Data_Copy!K2</f>
        <v>สื่อสารผ่าน e-smart/ idoc / ข้อบังคับการทำงาน</v>
      </c>
      <c r="N2" s="21">
        <f t="shared" ref="N2:N33" si="4">--(I2="Implemented")</f>
        <v>1</v>
      </c>
      <c r="O2" s="21">
        <f t="shared" ref="O2:O33" si="5">--(I2="Identified")</f>
        <v>0</v>
      </c>
      <c r="P2" s="21">
        <f t="shared" ref="P2:P33" si="6">--(I2="Evaluated")</f>
        <v>0</v>
      </c>
      <c r="Q2" s="21">
        <f t="shared" ref="Q2:Q33" si="7">--(K2="Active")</f>
        <v>1</v>
      </c>
      <c r="R2" s="21">
        <f t="shared" ref="R2:R33" si="8">--(K2="Inactive")</f>
        <v>0</v>
      </c>
      <c r="S2" s="21">
        <f t="shared" ref="S2:S33" si="9">--(K2="")</f>
        <v>0</v>
      </c>
      <c r="T2" s="21">
        <f t="shared" ref="T2:T33" si="10">--(AND(K2="Active",I2&lt;&gt;"Implemented"))</f>
        <v>0</v>
      </c>
      <c r="U2" s="21">
        <f t="shared" ref="U2:U33" si="11">--(E2="")</f>
        <v>0</v>
      </c>
      <c r="V2" s="21">
        <f t="shared" ref="V2:V33" si="12">--(M2="")</f>
        <v>0</v>
      </c>
      <c r="W2" s="21">
        <f t="shared" ref="W2:W33" si="13">--(OR(U2=1,S2=1,V2=1))</f>
        <v>0</v>
      </c>
      <c r="X2" s="19" t="str">
        <f>Raw_Data_Copy!G2</f>
        <v>https://legal.labour.go.th/images/law/Protection2541/2541_labour_protection.pdf</v>
      </c>
      <c r="Y2" s="19">
        <f>Raw_Data_Copy!D2</f>
        <v>0</v>
      </c>
      <c r="Z2" s="19" t="str">
        <f>Raw_Data_Copy!A2</f>
        <v>พระราชบัญญัติ</v>
      </c>
    </row>
    <row r="3" spans="1:26">
      <c r="A3" s="19">
        <v>3</v>
      </c>
      <c r="B3" s="19">
        <f>Raw_Data_Copy!B3</f>
        <v>2</v>
      </c>
      <c r="C3" s="19" t="str">
        <f>Raw_Data_Copy!E3</f>
        <v>พระราชบัญญัติส่งเสริมการพัฒนาฝีมือแรงงาน พ.ศ. 2545 และที่แก้ไขเพิ่มเติม</v>
      </c>
      <c r="D3" s="19" t="str">
        <f>Raw_Data_Copy!C3</f>
        <v>กฎหมายพัฒนาฝีมือแรงงาน</v>
      </c>
      <c r="E3" s="20" t="str">
        <f>Raw_Data_Copy!F3</f>
        <v>9/22/2002</v>
      </c>
      <c r="F3" s="19" t="e">
        <f t="shared" si="0"/>
        <v>#VALUE!</v>
      </c>
      <c r="G3" s="19" t="str">
        <f t="shared" si="1"/>
        <v>9/22/2002</v>
      </c>
      <c r="H3" s="19" t="str">
        <f>Raw_Data_Copy!I3</f>
        <v>Implemented</v>
      </c>
      <c r="I3" s="19" t="str">
        <f t="shared" si="2"/>
        <v>Implemented</v>
      </c>
      <c r="J3" s="19" t="str">
        <f>Raw_Data_Copy!L3</f>
        <v>Active</v>
      </c>
      <c r="K3" s="19" t="str">
        <f t="shared" si="3"/>
        <v>Active</v>
      </c>
      <c r="L3" s="19" t="str">
        <f>Raw_Data_Copy!J3</f>
        <v>จริง</v>
      </c>
      <c r="M3" s="19" t="str">
        <f>Raw_Data_Copy!K3</f>
        <v>สื่อสารผ่าน e-smart/ idoc / ขั้นตอนการปฏิบัติงานเกี่ยวกับพัฒนาฝีมือแรงงาน</v>
      </c>
      <c r="N3" s="21">
        <f t="shared" si="4"/>
        <v>1</v>
      </c>
      <c r="O3" s="21">
        <f t="shared" si="5"/>
        <v>0</v>
      </c>
      <c r="P3" s="21">
        <f t="shared" si="6"/>
        <v>0</v>
      </c>
      <c r="Q3" s="21">
        <f t="shared" si="7"/>
        <v>1</v>
      </c>
      <c r="R3" s="21">
        <f t="shared" si="8"/>
        <v>0</v>
      </c>
      <c r="S3" s="21">
        <f t="shared" si="9"/>
        <v>0</v>
      </c>
      <c r="T3" s="21">
        <f t="shared" si="10"/>
        <v>0</v>
      </c>
      <c r="U3" s="21">
        <f t="shared" si="11"/>
        <v>0</v>
      </c>
      <c r="V3" s="21">
        <f t="shared" si="12"/>
        <v>0</v>
      </c>
      <c r="W3" s="21">
        <f t="shared" si="13"/>
        <v>0</v>
      </c>
      <c r="X3" s="19" t="str">
        <f>Raw_Data_Copy!G3</f>
        <v>https://idev.dsd.go.th/~law/qr1/01%20%A1%AE%CB%C1%D2%C2%B7%D5%E8%E0%A1%D5%E8%C2%C7%A2%E9%CD%A7%A1%D1%BA%A1%D2%C3%BE%D1%B2%B9%D2%BD%D5%C1%D7%CD%E1%C3%A7%A7%D2%B9/%20%BE%C3%D0%C3%D2%AA%BA%D1%AD%AD%D1%B5%D4/1.%20%BE%C3%D0%C3%D2%AA%BA%D1%AD%AD%D1%B5%D4%CA%E8%A7%E0%CA%C3%D4%C1%A1%D2%C3%BE%D1%B2%B9%D2%BD%D5%C1%D7%CD%E1%C3%A7%A7%D2%B9%20%BE.%C8.2545%20%E1%C5%D0%B7%D5%E8%E1%A1%E9%E4%A2%E0%BE%D4%E8%C1%E0%B5%D4%C1.pdf</v>
      </c>
      <c r="Y3" s="19">
        <f>Raw_Data_Copy!D3</f>
        <v>0</v>
      </c>
      <c r="Z3" s="19" t="str">
        <f>Raw_Data_Copy!A3</f>
        <v>พระราชบัญญัติ</v>
      </c>
    </row>
    <row r="4" spans="1:26">
      <c r="A4" s="19">
        <v>4</v>
      </c>
      <c r="B4" s="19">
        <f>Raw_Data_Copy!B4</f>
        <v>3</v>
      </c>
      <c r="C4" s="19" t="str">
        <f>Raw_Data_Copy!E4</f>
        <v>พระราชบัญญัติแรงงานสัมพันธ์ พ.ศ. 2518</v>
      </c>
      <c r="D4" s="19" t="str">
        <f>Raw_Data_Copy!C4</f>
        <v>กฎหมายแรงงานสัมพันธ์</v>
      </c>
      <c r="E4" s="20" t="str">
        <f>Raw_Data_Copy!F4</f>
        <v>2/14/1975</v>
      </c>
      <c r="F4" s="19" t="e">
        <f t="shared" si="0"/>
        <v>#VALUE!</v>
      </c>
      <c r="G4" s="19" t="str">
        <f t="shared" si="1"/>
        <v>2/14/1975</v>
      </c>
      <c r="H4" s="19" t="str">
        <f>Raw_Data_Copy!I4</f>
        <v>Implemented</v>
      </c>
      <c r="I4" s="19" t="str">
        <f t="shared" si="2"/>
        <v>Implemented</v>
      </c>
      <c r="J4" s="19" t="str">
        <f>Raw_Data_Copy!L4</f>
        <v>Active</v>
      </c>
      <c r="K4" s="19" t="str">
        <f t="shared" si="3"/>
        <v>Active</v>
      </c>
      <c r="L4" s="19" t="str">
        <f>Raw_Data_Copy!J4</f>
        <v>จริง</v>
      </c>
      <c r="M4" s="19" t="str">
        <f>Raw_Data_Copy!K4</f>
        <v>สื่อสารผ่าน e-smart/ idoc</v>
      </c>
      <c r="N4" s="21">
        <f t="shared" si="4"/>
        <v>1</v>
      </c>
      <c r="O4" s="21">
        <f t="shared" si="5"/>
        <v>0</v>
      </c>
      <c r="P4" s="21">
        <f t="shared" si="6"/>
        <v>0</v>
      </c>
      <c r="Q4" s="21">
        <f t="shared" si="7"/>
        <v>1</v>
      </c>
      <c r="R4" s="21">
        <f t="shared" si="8"/>
        <v>0</v>
      </c>
      <c r="S4" s="21">
        <f t="shared" si="9"/>
        <v>0</v>
      </c>
      <c r="T4" s="21">
        <f t="shared" si="10"/>
        <v>0</v>
      </c>
      <c r="U4" s="21">
        <f t="shared" si="11"/>
        <v>0</v>
      </c>
      <c r="V4" s="21">
        <f t="shared" si="12"/>
        <v>0</v>
      </c>
      <c r="W4" s="21">
        <f t="shared" si="13"/>
        <v>0</v>
      </c>
      <c r="X4" s="19" t="str">
        <f>Raw_Data_Copy!G4</f>
        <v>https://legal.labour.go.th/images/law/Relation2518/labour_relation2518.pdf</v>
      </c>
      <c r="Y4" s="19">
        <f>Raw_Data_Copy!D4</f>
        <v>0</v>
      </c>
      <c r="Z4" s="19" t="str">
        <f>Raw_Data_Copy!A4</f>
        <v>พระราชบัญญัติ</v>
      </c>
    </row>
    <row r="5" spans="1:26">
      <c r="A5" s="19">
        <v>5</v>
      </c>
      <c r="B5" s="19">
        <f>Raw_Data_Copy!B5</f>
        <v>4</v>
      </c>
      <c r="C5" s="19" t="str">
        <f>Raw_Data_Copy!E5</f>
        <v>พระราชบัญญัติป้องกันและปราบปรามการค้ามนุษย์ พ.ศ. 2551 และฉบับที่แก้ไขเพิ่มเติม</v>
      </c>
      <c r="D5" s="19" t="str">
        <f>Raw_Data_Copy!C5</f>
        <v>กฎหมาย อื่น ๆ</v>
      </c>
      <c r="E5" s="20" t="str">
        <f>Raw_Data_Copy!F5</f>
        <v>12/30/2008</v>
      </c>
      <c r="F5" s="19" t="e">
        <f t="shared" si="0"/>
        <v>#VALUE!</v>
      </c>
      <c r="G5" s="19" t="str">
        <f t="shared" si="1"/>
        <v>12/30/2008</v>
      </c>
      <c r="H5" s="19" t="str">
        <f>Raw_Data_Copy!I5</f>
        <v>Implemented</v>
      </c>
      <c r="I5" s="19" t="str">
        <f t="shared" si="2"/>
        <v>Implemented</v>
      </c>
      <c r="J5" s="19" t="str">
        <f>Raw_Data_Copy!L5</f>
        <v>Active</v>
      </c>
      <c r="K5" s="19" t="str">
        <f t="shared" si="3"/>
        <v>Active</v>
      </c>
      <c r="L5" s="19" t="str">
        <f>Raw_Data_Copy!J5</f>
        <v>จริง</v>
      </c>
      <c r="M5" s="19" t="str">
        <f>Raw_Data_Copy!K5</f>
        <v>สื่อสารผ่าน e-smart/ idoc</v>
      </c>
      <c r="N5" s="21">
        <f t="shared" si="4"/>
        <v>1</v>
      </c>
      <c r="O5" s="21">
        <f t="shared" si="5"/>
        <v>0</v>
      </c>
      <c r="P5" s="21">
        <f t="shared" si="6"/>
        <v>0</v>
      </c>
      <c r="Q5" s="21">
        <f t="shared" si="7"/>
        <v>1</v>
      </c>
      <c r="R5" s="21">
        <f t="shared" si="8"/>
        <v>0</v>
      </c>
      <c r="S5" s="21">
        <f t="shared" si="9"/>
        <v>0</v>
      </c>
      <c r="T5" s="21">
        <f t="shared" si="10"/>
        <v>0</v>
      </c>
      <c r="U5" s="21">
        <f t="shared" si="11"/>
        <v>0</v>
      </c>
      <c r="V5" s="21">
        <f t="shared" si="12"/>
        <v>0</v>
      </c>
      <c r="W5" s="21">
        <f t="shared" si="13"/>
        <v>0</v>
      </c>
      <c r="X5" s="19" t="str">
        <f>Raw_Data_Copy!G5</f>
        <v>https://web.parliament.go.th/aseanrelated_law/files/file_20170817115531_0.pdf</v>
      </c>
      <c r="Y5" s="19">
        <f>Raw_Data_Copy!D5</f>
        <v>0</v>
      </c>
      <c r="Z5" s="19" t="str">
        <f>Raw_Data_Copy!A5</f>
        <v>พระราชบัญญัติ</v>
      </c>
    </row>
    <row r="6" spans="1:26">
      <c r="A6" s="19">
        <v>6</v>
      </c>
      <c r="B6" s="19">
        <f>Raw_Data_Copy!B6</f>
        <v>5</v>
      </c>
      <c r="C6" s="19" t="str">
        <f>Raw_Data_Copy!E6</f>
        <v>พระราชบัญญัติประกันสังคม พ.ศ. 2533 และฉบับที่แก้ไขเพิ่มเติม</v>
      </c>
      <c r="D6" s="19" t="str">
        <f>Raw_Data_Copy!C6</f>
        <v>กฎหมายประกันสังคม</v>
      </c>
      <c r="E6" s="20" t="str">
        <f>Raw_Data_Copy!F6</f>
        <v>12/30/2008</v>
      </c>
      <c r="F6" s="19" t="e">
        <f t="shared" si="0"/>
        <v>#VALUE!</v>
      </c>
      <c r="G6" s="19" t="str">
        <f t="shared" si="1"/>
        <v>12/30/2008</v>
      </c>
      <c r="H6" s="19" t="str">
        <f>Raw_Data_Copy!I6</f>
        <v>Implemented</v>
      </c>
      <c r="I6" s="19" t="str">
        <f t="shared" si="2"/>
        <v>Implemented</v>
      </c>
      <c r="J6" s="19" t="str">
        <f>Raw_Data_Copy!L6</f>
        <v>Active</v>
      </c>
      <c r="K6" s="19" t="str">
        <f t="shared" si="3"/>
        <v>Active</v>
      </c>
      <c r="L6" s="19" t="str">
        <f>Raw_Data_Copy!J6</f>
        <v>จริง</v>
      </c>
      <c r="M6" s="19" t="str">
        <f>Raw_Data_Copy!K6</f>
        <v>สื่อสารผ่าน e-smart/ idoc</v>
      </c>
      <c r="N6" s="21">
        <f t="shared" si="4"/>
        <v>1</v>
      </c>
      <c r="O6" s="21">
        <f t="shared" si="5"/>
        <v>0</v>
      </c>
      <c r="P6" s="21">
        <f t="shared" si="6"/>
        <v>0</v>
      </c>
      <c r="Q6" s="21">
        <f t="shared" si="7"/>
        <v>1</v>
      </c>
      <c r="R6" s="21">
        <f t="shared" si="8"/>
        <v>0</v>
      </c>
      <c r="S6" s="21">
        <f t="shared" si="9"/>
        <v>0</v>
      </c>
      <c r="T6" s="21">
        <f t="shared" si="10"/>
        <v>0</v>
      </c>
      <c r="U6" s="21">
        <f t="shared" si="11"/>
        <v>0</v>
      </c>
      <c r="V6" s="21">
        <f t="shared" si="12"/>
        <v>0</v>
      </c>
      <c r="W6" s="21">
        <f t="shared" si="13"/>
        <v>0</v>
      </c>
      <c r="X6" s="19" t="str">
        <f>Raw_Data_Copy!G6</f>
        <v>https://www.mol.go.th/wp-content/uploads/sites/2/2021/02/2-%E0%B8%9E%E0%B8%A3%E0%B8%9A.%E0%B8%9B%E0%B8%A3%E0%B8%B0%E0%B8%81%E0%B8%B1%E0%B8%99%E0%B8%AA%E0%B8%B1%E0%B8%87%E0%B8%84%E0%B8%A1-%E0%B8%9E.%E0%B8%A8.-2533.pdf</v>
      </c>
      <c r="Y6" s="19">
        <f>Raw_Data_Copy!D6</f>
        <v>0</v>
      </c>
      <c r="Z6" s="19" t="str">
        <f>Raw_Data_Copy!A6</f>
        <v>พระราชบัญญัติ</v>
      </c>
    </row>
    <row r="7" spans="1:26">
      <c r="A7" s="19">
        <v>7</v>
      </c>
      <c r="B7" s="19">
        <f>Raw_Data_Copy!B7</f>
        <v>6</v>
      </c>
      <c r="C7" s="19" t="str">
        <f>Raw_Data_Copy!E7</f>
        <v>พระราชบัญญัติเงินทดแทน พ.ศ. 2537 และฉบับที่แก้ไขเพิ่มเติม</v>
      </c>
      <c r="D7" s="19" t="str">
        <f>Raw_Data_Copy!C7</f>
        <v>กฎหมายประกันสังคม</v>
      </c>
      <c r="E7" s="20" t="str">
        <f>Raw_Data_Copy!F7</f>
        <v>6/14/1994</v>
      </c>
      <c r="F7" s="19" t="e">
        <f t="shared" si="0"/>
        <v>#VALUE!</v>
      </c>
      <c r="G7" s="19" t="str">
        <f t="shared" si="1"/>
        <v>6/14/1994</v>
      </c>
      <c r="H7" s="19" t="str">
        <f>Raw_Data_Copy!I7</f>
        <v>Implemented</v>
      </c>
      <c r="I7" s="19" t="str">
        <f t="shared" si="2"/>
        <v>Implemented</v>
      </c>
      <c r="J7" s="19" t="str">
        <f>Raw_Data_Copy!L7</f>
        <v>Active</v>
      </c>
      <c r="K7" s="19" t="str">
        <f t="shared" si="3"/>
        <v>Active</v>
      </c>
      <c r="L7" s="19" t="str">
        <f>Raw_Data_Copy!J7</f>
        <v>จริง</v>
      </c>
      <c r="M7" s="19" t="str">
        <f>Raw_Data_Copy!K7</f>
        <v>สื่อสารผ่าน e-smart/ idoc</v>
      </c>
      <c r="N7" s="21">
        <f t="shared" si="4"/>
        <v>1</v>
      </c>
      <c r="O7" s="21">
        <f t="shared" si="5"/>
        <v>0</v>
      </c>
      <c r="P7" s="21">
        <f t="shared" si="6"/>
        <v>0</v>
      </c>
      <c r="Q7" s="21">
        <f t="shared" si="7"/>
        <v>1</v>
      </c>
      <c r="R7" s="21">
        <f t="shared" si="8"/>
        <v>0</v>
      </c>
      <c r="S7" s="21">
        <f t="shared" si="9"/>
        <v>0</v>
      </c>
      <c r="T7" s="21">
        <f t="shared" si="10"/>
        <v>0</v>
      </c>
      <c r="U7" s="21">
        <f t="shared" si="11"/>
        <v>0</v>
      </c>
      <c r="V7" s="21">
        <f t="shared" si="12"/>
        <v>0</v>
      </c>
      <c r="W7" s="21">
        <f t="shared" si="13"/>
        <v>0</v>
      </c>
      <c r="X7" s="19" t="str">
        <f>Raw_Data_Copy!G7</f>
        <v>https://www.sso.go.th/wpr/assets/upload/files_storage/sso_th/84244ea51a2464c0713a98ddd8cc0955.pdf</v>
      </c>
      <c r="Y7" s="19">
        <f>Raw_Data_Copy!D7</f>
        <v>0</v>
      </c>
      <c r="Z7" s="19" t="str">
        <f>Raw_Data_Copy!A7</f>
        <v>พระราชบัญญัติ</v>
      </c>
    </row>
    <row r="8" spans="1:26">
      <c r="A8" s="19">
        <v>8</v>
      </c>
      <c r="B8" s="19">
        <f>Raw_Data_Copy!B8</f>
        <v>7</v>
      </c>
      <c r="C8" s="19" t="str">
        <f>Raw_Data_Copy!E8</f>
        <v>พระราชกฤษฎีกา กำหนดระยะเวลาเริ่มดำเนินการจัดเก็บเงินสะสมและเงินสมทบกองทุนสงเคราะห์ลูกจ้าง พ.ศ. 2567</v>
      </c>
      <c r="D8" s="19" t="str">
        <f>Raw_Data_Copy!C8</f>
        <v>กฎหมายคุ้มครองแรงงาน</v>
      </c>
      <c r="E8" s="20" t="str">
        <f>Raw_Data_Copy!F8</f>
        <v>11/15/2024</v>
      </c>
      <c r="F8" s="19" t="e">
        <f t="shared" si="0"/>
        <v>#VALUE!</v>
      </c>
      <c r="G8" s="19" t="str">
        <f t="shared" si="1"/>
        <v>11/15/2024</v>
      </c>
      <c r="H8" s="19" t="str">
        <f>Raw_Data_Copy!I8</f>
        <v>Evaluated</v>
      </c>
      <c r="I8" s="19" t="str">
        <f t="shared" si="2"/>
        <v>Evaluated</v>
      </c>
      <c r="J8" s="19" t="str">
        <f>Raw_Data_Copy!L8</f>
        <v>Active</v>
      </c>
      <c r="K8" s="19" t="str">
        <f t="shared" si="3"/>
        <v>Active</v>
      </c>
      <c r="L8" s="19" t="str">
        <f>Raw_Data_Copy!J8</f>
        <v>จริง</v>
      </c>
      <c r="M8" s="19" t="str">
        <f>Raw_Data_Copy!K8</f>
        <v>สื่อสารผ่าน e-smart/ idoc</v>
      </c>
      <c r="N8" s="21">
        <f t="shared" si="4"/>
        <v>0</v>
      </c>
      <c r="O8" s="21">
        <f t="shared" si="5"/>
        <v>0</v>
      </c>
      <c r="P8" s="21">
        <f t="shared" si="6"/>
        <v>1</v>
      </c>
      <c r="Q8" s="21">
        <f t="shared" si="7"/>
        <v>1</v>
      </c>
      <c r="R8" s="21">
        <f t="shared" si="8"/>
        <v>0</v>
      </c>
      <c r="S8" s="21">
        <f t="shared" si="9"/>
        <v>0</v>
      </c>
      <c r="T8" s="21">
        <f t="shared" si="10"/>
        <v>1</v>
      </c>
      <c r="U8" s="21">
        <f t="shared" si="11"/>
        <v>0</v>
      </c>
      <c r="V8" s="21">
        <f t="shared" si="12"/>
        <v>0</v>
      </c>
      <c r="W8" s="21">
        <f t="shared" si="13"/>
        <v>0</v>
      </c>
      <c r="X8" s="19" t="str">
        <f>Raw_Data_Copy!G8</f>
        <v>https://legal.labour.go.th/images/law/Protection2541/2567/EWF_14-11-67.pdf</v>
      </c>
      <c r="Y8" s="19">
        <f>Raw_Data_Copy!D8</f>
        <v>0</v>
      </c>
      <c r="Z8" s="19" t="str">
        <f>Raw_Data_Copy!A8</f>
        <v>พระราชกฤษฎีกา</v>
      </c>
    </row>
    <row r="9" spans="1:26">
      <c r="A9" s="19">
        <v>9</v>
      </c>
      <c r="B9" s="19">
        <f>Raw_Data_Copy!B9</f>
        <v>8</v>
      </c>
      <c r="C9" s="19" t="str">
        <f>Raw_Data_Copy!E9</f>
        <v>กฎกระทรวง กำหนดค่าล่วงเวลาและค่าตอบแทนการทำงานที่เกินวันละแปดชั่วโมง ในงานเฝ้าดูแลสถานที่หรือทรัพย์สินอันเป็นหน้าที่การทำงานปกติของลูกจ้าง พ.ศ. 2568</v>
      </c>
      <c r="D9" s="19" t="str">
        <f>Raw_Data_Copy!C9</f>
        <v>กฎหมายคุ้มครองแรงงาน</v>
      </c>
      <c r="E9" s="20" t="str">
        <f>Raw_Data_Copy!F9</f>
        <v>4/24/2025</v>
      </c>
      <c r="F9" s="19" t="e">
        <f t="shared" si="0"/>
        <v>#VALUE!</v>
      </c>
      <c r="G9" s="19" t="str">
        <f t="shared" si="1"/>
        <v>4/24/2025</v>
      </c>
      <c r="H9" s="19" t="str">
        <f>Raw_Data_Copy!I9</f>
        <v>Evaluated</v>
      </c>
      <c r="I9" s="19" t="str">
        <f t="shared" si="2"/>
        <v>Evaluated</v>
      </c>
      <c r="J9" s="19" t="str">
        <f>Raw_Data_Copy!L9</f>
        <v>Active</v>
      </c>
      <c r="K9" s="19" t="str">
        <f t="shared" si="3"/>
        <v>Active</v>
      </c>
      <c r="L9" s="19" t="str">
        <f>Raw_Data_Copy!J9</f>
        <v>จริง</v>
      </c>
      <c r="M9" s="19" t="str">
        <f>Raw_Data_Copy!K9</f>
        <v>สื่อสารผ่าน e-smart/ idoc</v>
      </c>
      <c r="N9" s="21">
        <f t="shared" si="4"/>
        <v>0</v>
      </c>
      <c r="O9" s="21">
        <f t="shared" si="5"/>
        <v>0</v>
      </c>
      <c r="P9" s="21">
        <f t="shared" si="6"/>
        <v>1</v>
      </c>
      <c r="Q9" s="21">
        <f t="shared" si="7"/>
        <v>1</v>
      </c>
      <c r="R9" s="21">
        <f t="shared" si="8"/>
        <v>0</v>
      </c>
      <c r="S9" s="21">
        <f t="shared" si="9"/>
        <v>0</v>
      </c>
      <c r="T9" s="21">
        <f t="shared" si="10"/>
        <v>1</v>
      </c>
      <c r="U9" s="21">
        <f t="shared" si="11"/>
        <v>0</v>
      </c>
      <c r="V9" s="21">
        <f t="shared" si="12"/>
        <v>0</v>
      </c>
      <c r="W9" s="21">
        <f t="shared" si="13"/>
        <v>0</v>
      </c>
      <c r="X9" s="19" t="str">
        <f>Raw_Data_Copy!G9</f>
        <v>https://ratchakitcha.soc.go.th/documents/68372.pdf</v>
      </c>
      <c r="Y9" s="19">
        <f>Raw_Data_Copy!D9</f>
        <v>68372</v>
      </c>
      <c r="Z9" s="19" t="str">
        <f>Raw_Data_Copy!A9</f>
        <v>กฎกระทรวง</v>
      </c>
    </row>
    <row r="10" spans="1:26">
      <c r="A10" s="19">
        <v>10</v>
      </c>
      <c r="B10" s="19">
        <f>Raw_Data_Copy!B10</f>
        <v>9</v>
      </c>
      <c r="C10" s="19" t="str">
        <f>Raw_Data_Copy!E10</f>
        <v>กฎกระทรวง กำหนดหลักเกณฑ์และวิธีการจัดการสงเคราะห์แก่ลูกจ้าง ในกรณีที่ลูกจ้างออกจากงานหรือตาย พ.ศ. 2567</v>
      </c>
      <c r="D10" s="19" t="str">
        <f>Raw_Data_Copy!C10</f>
        <v>กฎหมายคุ้มครองแรงงาน</v>
      </c>
      <c r="E10" s="20" t="str">
        <f>Raw_Data_Copy!F10</f>
        <v>11/21/2025</v>
      </c>
      <c r="F10" s="19" t="e">
        <f t="shared" si="0"/>
        <v>#VALUE!</v>
      </c>
      <c r="G10" s="19" t="str">
        <f t="shared" si="1"/>
        <v>11/21/2025</v>
      </c>
      <c r="H10" s="19" t="str">
        <f>Raw_Data_Copy!I10</f>
        <v>Implemented</v>
      </c>
      <c r="I10" s="19" t="str">
        <f t="shared" si="2"/>
        <v>Implemented</v>
      </c>
      <c r="J10" s="19" t="str">
        <f>Raw_Data_Copy!L10</f>
        <v>Inactive</v>
      </c>
      <c r="K10" s="19" t="str">
        <f t="shared" si="3"/>
        <v>Inactive</v>
      </c>
      <c r="L10" s="19" t="str">
        <f>Raw_Data_Copy!J10</f>
        <v>จริง</v>
      </c>
      <c r="M10" s="19" t="str">
        <f>Raw_Data_Copy!K10</f>
        <v>สื่อสารผ่าน e-smart/ idoc</v>
      </c>
      <c r="N10" s="21">
        <f t="shared" si="4"/>
        <v>1</v>
      </c>
      <c r="O10" s="21">
        <f t="shared" si="5"/>
        <v>0</v>
      </c>
      <c r="P10" s="21">
        <f t="shared" si="6"/>
        <v>0</v>
      </c>
      <c r="Q10" s="21">
        <f t="shared" si="7"/>
        <v>0</v>
      </c>
      <c r="R10" s="21">
        <f t="shared" si="8"/>
        <v>1</v>
      </c>
      <c r="S10" s="21">
        <f t="shared" si="9"/>
        <v>0</v>
      </c>
      <c r="T10" s="21">
        <f t="shared" si="10"/>
        <v>0</v>
      </c>
      <c r="U10" s="21">
        <f t="shared" si="11"/>
        <v>0</v>
      </c>
      <c r="V10" s="21">
        <f t="shared" si="12"/>
        <v>0</v>
      </c>
      <c r="W10" s="21">
        <f t="shared" si="13"/>
        <v>0</v>
      </c>
      <c r="X10" s="19" t="str">
        <f>Raw_Data_Copy!G10</f>
        <v>https://legal.labour.go.th/images/law/Protection2541/2567/EWF2_14-11-67.pdf</v>
      </c>
      <c r="Y10" s="19">
        <f>Raw_Data_Copy!D10</f>
        <v>0</v>
      </c>
      <c r="Z10" s="19" t="str">
        <f>Raw_Data_Copy!A10</f>
        <v>กฎกระทรวง</v>
      </c>
    </row>
    <row r="11" spans="1:26">
      <c r="A11" s="19">
        <v>11</v>
      </c>
      <c r="B11" s="19">
        <f>Raw_Data_Copy!B11</f>
        <v>10</v>
      </c>
      <c r="C11" s="19" t="str">
        <f>Raw_Data_Copy!E11</f>
        <v>กฎกระทรวง กำหนดอัตราเงินสะสมและเงินสมทบกองทุนสงเคราะห์ลูกจ้าง พ.ศ. 2567</v>
      </c>
      <c r="D11" s="19" t="str">
        <f>Raw_Data_Copy!C11</f>
        <v>กฎหมายคุ้มครองแรงงาน</v>
      </c>
      <c r="E11" s="20" t="str">
        <f>Raw_Data_Copy!F11</f>
        <v>11/22/2025</v>
      </c>
      <c r="F11" s="19" t="e">
        <f t="shared" si="0"/>
        <v>#VALUE!</v>
      </c>
      <c r="G11" s="19" t="str">
        <f t="shared" si="1"/>
        <v>11/22/2025</v>
      </c>
      <c r="H11" s="19" t="str">
        <f>Raw_Data_Copy!I11</f>
        <v>Evaluated</v>
      </c>
      <c r="I11" s="19" t="str">
        <f t="shared" si="2"/>
        <v>Evaluated</v>
      </c>
      <c r="J11" s="19" t="str">
        <f>Raw_Data_Copy!L11</f>
        <v>Inactive</v>
      </c>
      <c r="K11" s="19" t="str">
        <f t="shared" si="3"/>
        <v>Inactive</v>
      </c>
      <c r="L11" s="19" t="str">
        <f>Raw_Data_Copy!J11</f>
        <v>จริง</v>
      </c>
      <c r="M11" s="19" t="str">
        <f>Raw_Data_Copy!K11</f>
        <v>สื่อสารผ่าน e-smart/ idoc</v>
      </c>
      <c r="N11" s="21">
        <f t="shared" si="4"/>
        <v>0</v>
      </c>
      <c r="O11" s="21">
        <f t="shared" si="5"/>
        <v>0</v>
      </c>
      <c r="P11" s="21">
        <f t="shared" si="6"/>
        <v>1</v>
      </c>
      <c r="Q11" s="21">
        <f t="shared" si="7"/>
        <v>0</v>
      </c>
      <c r="R11" s="21">
        <f t="shared" si="8"/>
        <v>1</v>
      </c>
      <c r="S11" s="21">
        <f t="shared" si="9"/>
        <v>0</v>
      </c>
      <c r="T11" s="21">
        <f t="shared" si="10"/>
        <v>0</v>
      </c>
      <c r="U11" s="21">
        <f t="shared" si="11"/>
        <v>0</v>
      </c>
      <c r="V11" s="21">
        <f t="shared" si="12"/>
        <v>0</v>
      </c>
      <c r="W11" s="21">
        <f t="shared" si="13"/>
        <v>0</v>
      </c>
      <c r="X11" s="19" t="str">
        <f>Raw_Data_Copy!G11</f>
        <v>https://legal.labour.go.th/images/law/Protection2541/2567/EWF1_14-11-67.pdf</v>
      </c>
      <c r="Y11" s="19">
        <f>Raw_Data_Copy!D11</f>
        <v>0</v>
      </c>
      <c r="Z11" s="19" t="str">
        <f>Raw_Data_Copy!A11</f>
        <v>กฎกระทรวง</v>
      </c>
    </row>
    <row r="12" spans="1:26">
      <c r="A12" s="19">
        <v>12</v>
      </c>
      <c r="B12" s="19">
        <f>Raw_Data_Copy!B12</f>
        <v>11</v>
      </c>
      <c r="C12" s="19" t="str">
        <f>Raw_Data_Copy!E12</f>
        <v>กฎกระทรวง กำหนดประเภทของสถานประกอบกิจการและการดำเนินการของสถานประกอบกิจการในการป้องกันและแก้ไขปัญหาการตั้งครรภ์ในวัยรุ่นแก่ลูกจ้างซึ่งเป็นวัยรุ่น พ.ศ. 2561</v>
      </c>
      <c r="D12" s="19" t="str">
        <f>Raw_Data_Copy!C12</f>
        <v>กฎหมาย อื่น ๆ</v>
      </c>
      <c r="E12" s="20" t="str">
        <f>Raw_Data_Copy!F12</f>
        <v>11/16/2018</v>
      </c>
      <c r="F12" s="19" t="e">
        <f t="shared" si="0"/>
        <v>#VALUE!</v>
      </c>
      <c r="G12" s="19" t="str">
        <f t="shared" si="1"/>
        <v>11/16/2018</v>
      </c>
      <c r="H12" s="19" t="str">
        <f>Raw_Data_Copy!I12</f>
        <v>Evaluated</v>
      </c>
      <c r="I12" s="19" t="str">
        <f t="shared" si="2"/>
        <v>Evaluated</v>
      </c>
      <c r="J12" s="19" t="str">
        <f>Raw_Data_Copy!L12</f>
        <v>Active</v>
      </c>
      <c r="K12" s="19" t="str">
        <f t="shared" si="3"/>
        <v>Active</v>
      </c>
      <c r="L12" s="19" t="str">
        <f>Raw_Data_Copy!J12</f>
        <v>จริง</v>
      </c>
      <c r="M12" s="19" t="str">
        <f>Raw_Data_Copy!K12</f>
        <v>สื่อสารผ่าน e-smart/ idoc</v>
      </c>
      <c r="N12" s="21">
        <f t="shared" si="4"/>
        <v>0</v>
      </c>
      <c r="O12" s="21">
        <f t="shared" si="5"/>
        <v>0</v>
      </c>
      <c r="P12" s="21">
        <f t="shared" si="6"/>
        <v>1</v>
      </c>
      <c r="Q12" s="21">
        <f t="shared" si="7"/>
        <v>1</v>
      </c>
      <c r="R12" s="21">
        <f t="shared" si="8"/>
        <v>0</v>
      </c>
      <c r="S12" s="21">
        <f t="shared" si="9"/>
        <v>0</v>
      </c>
      <c r="T12" s="21">
        <f t="shared" si="10"/>
        <v>1</v>
      </c>
      <c r="U12" s="21">
        <f t="shared" si="11"/>
        <v>0</v>
      </c>
      <c r="V12" s="21">
        <f t="shared" si="12"/>
        <v>0</v>
      </c>
      <c r="W12" s="21">
        <f t="shared" si="13"/>
        <v>0</v>
      </c>
      <c r="X12" s="19" t="str">
        <f>Raw_Data_Copy!G12</f>
        <v>https://legal.labour.go.th/images/law/Protection2541/2561_21.PDF</v>
      </c>
      <c r="Y12" s="19">
        <f>Raw_Data_Copy!D12</f>
        <v>0</v>
      </c>
      <c r="Z12" s="19" t="str">
        <f>Raw_Data_Copy!A12</f>
        <v>กฎกระทรวง</v>
      </c>
    </row>
    <row r="13" spans="1:26">
      <c r="A13" s="19">
        <v>13</v>
      </c>
      <c r="B13" s="19">
        <f>Raw_Data_Copy!B13</f>
        <v>12</v>
      </c>
      <c r="C13" s="19" t="str">
        <f>Raw_Data_Copy!E13</f>
        <v>กฎกระทรวง ว่าด้วยการจัดสวัสดิการในสถานประกอบกิจการ พ.ศ. 2548</v>
      </c>
      <c r="D13" s="19" t="str">
        <f>Raw_Data_Copy!C13</f>
        <v>กฎหมายคุ้มครองแรงงาน</v>
      </c>
      <c r="E13" s="20" t="str">
        <f>Raw_Data_Copy!F13</f>
        <v>3/29/2005</v>
      </c>
      <c r="F13" s="19" t="e">
        <f t="shared" si="0"/>
        <v>#VALUE!</v>
      </c>
      <c r="G13" s="19" t="str">
        <f t="shared" si="1"/>
        <v>3/29/2005</v>
      </c>
      <c r="H13" s="19" t="str">
        <f>Raw_Data_Copy!I13</f>
        <v>Implemented</v>
      </c>
      <c r="I13" s="19" t="str">
        <f t="shared" si="2"/>
        <v>Implemented</v>
      </c>
      <c r="J13" s="19" t="str">
        <f>Raw_Data_Copy!L13</f>
        <v>Active</v>
      </c>
      <c r="K13" s="19" t="str">
        <f t="shared" si="3"/>
        <v>Active</v>
      </c>
      <c r="L13" s="19" t="str">
        <f>Raw_Data_Copy!J13</f>
        <v>จริง</v>
      </c>
      <c r="M13" s="19" t="str">
        <f>Raw_Data_Copy!K13</f>
        <v>สื่อสารผ่าน e-smart/ idoc</v>
      </c>
      <c r="N13" s="21">
        <f t="shared" si="4"/>
        <v>1</v>
      </c>
      <c r="O13" s="21">
        <f t="shared" si="5"/>
        <v>0</v>
      </c>
      <c r="P13" s="21">
        <f t="shared" si="6"/>
        <v>0</v>
      </c>
      <c r="Q13" s="21">
        <f t="shared" si="7"/>
        <v>1</v>
      </c>
      <c r="R13" s="21">
        <f t="shared" si="8"/>
        <v>0</v>
      </c>
      <c r="S13" s="21">
        <f t="shared" si="9"/>
        <v>0</v>
      </c>
      <c r="T13" s="21">
        <f t="shared" si="10"/>
        <v>0</v>
      </c>
      <c r="U13" s="21">
        <f t="shared" si="11"/>
        <v>0</v>
      </c>
      <c r="V13" s="21">
        <f t="shared" si="12"/>
        <v>0</v>
      </c>
      <c r="W13" s="21">
        <f t="shared" si="13"/>
        <v>0</v>
      </c>
      <c r="X13" s="19" t="str">
        <f>Raw_Data_Copy!G13</f>
        <v>https://legal.labour.go.th/images/law/Protection2541/2541_17.pdf</v>
      </c>
      <c r="Y13" s="19">
        <f>Raw_Data_Copy!D13</f>
        <v>0</v>
      </c>
      <c r="Z13" s="19" t="str">
        <f>Raw_Data_Copy!A13</f>
        <v>กฎกระทรวง</v>
      </c>
    </row>
    <row r="14" spans="1:26">
      <c r="A14" s="19">
        <v>14</v>
      </c>
      <c r="B14" s="19">
        <f>Raw_Data_Copy!B14</f>
        <v>13</v>
      </c>
      <c r="C14" s="19" t="str">
        <f>Raw_Data_Copy!E14</f>
        <v>กฎกระทรวง กำหนดอัตราน้ำหนักให้ลูกจ้างทำงานได้ พ.ศ. 2547</v>
      </c>
      <c r="D14" s="19" t="str">
        <f>Raw_Data_Copy!C14</f>
        <v>กฎหมายคุ้มครองแรงงาน</v>
      </c>
      <c r="E14" s="20" t="str">
        <f>Raw_Data_Copy!F14</f>
        <v>4/23/2004</v>
      </c>
      <c r="F14" s="19" t="e">
        <f t="shared" si="0"/>
        <v>#VALUE!</v>
      </c>
      <c r="G14" s="19" t="str">
        <f t="shared" si="1"/>
        <v>4/23/2004</v>
      </c>
      <c r="H14" s="19" t="str">
        <f>Raw_Data_Copy!I14</f>
        <v>Implemented</v>
      </c>
      <c r="I14" s="19" t="str">
        <f t="shared" si="2"/>
        <v>Implemented</v>
      </c>
      <c r="J14" s="19" t="str">
        <f>Raw_Data_Copy!L14</f>
        <v>Active</v>
      </c>
      <c r="K14" s="19" t="str">
        <f t="shared" si="3"/>
        <v>Active</v>
      </c>
      <c r="L14" s="19" t="str">
        <f>Raw_Data_Copy!J14</f>
        <v>จริง</v>
      </c>
      <c r="M14" s="19" t="str">
        <f>Raw_Data_Copy!K14</f>
        <v>สื่อสารผ่าน e-smart/ idoc</v>
      </c>
      <c r="N14" s="21">
        <f t="shared" si="4"/>
        <v>1</v>
      </c>
      <c r="O14" s="21">
        <f t="shared" si="5"/>
        <v>0</v>
      </c>
      <c r="P14" s="21">
        <f t="shared" si="6"/>
        <v>0</v>
      </c>
      <c r="Q14" s="21">
        <f t="shared" si="7"/>
        <v>1</v>
      </c>
      <c r="R14" s="21">
        <f t="shared" si="8"/>
        <v>0</v>
      </c>
      <c r="S14" s="21">
        <f t="shared" si="9"/>
        <v>0</v>
      </c>
      <c r="T14" s="21">
        <f t="shared" si="10"/>
        <v>0</v>
      </c>
      <c r="U14" s="21">
        <f t="shared" si="11"/>
        <v>0</v>
      </c>
      <c r="V14" s="21">
        <f t="shared" si="12"/>
        <v>0</v>
      </c>
      <c r="W14" s="21">
        <f t="shared" si="13"/>
        <v>0</v>
      </c>
      <c r="X14" s="19" t="str">
        <f>Raw_Data_Copy!G14</f>
        <v>https://legal.labour.go.th/images/law/Protection2541/2541_15.pdf</v>
      </c>
      <c r="Y14" s="19">
        <f>Raw_Data_Copy!D14</f>
        <v>0</v>
      </c>
      <c r="Z14" s="19" t="str">
        <f>Raw_Data_Copy!A14</f>
        <v>กฎกระทรวง</v>
      </c>
    </row>
    <row r="15" spans="1:26">
      <c r="A15" s="19">
        <v>15</v>
      </c>
      <c r="B15" s="19">
        <f>Raw_Data_Copy!B15</f>
        <v>14</v>
      </c>
      <c r="C15" s="19" t="str">
        <f>Raw_Data_Copy!E15</f>
        <v>กฎกระทรวง ฉบับที่ 2 (พ.ศ. 2541) ออกตามความในพระราชบัญญัติคุ้มครองแรงงาน พ.ศ. 2541</v>
      </c>
      <c r="D15" s="19" t="str">
        <f>Raw_Data_Copy!C15</f>
        <v>กฎหมายคุ้มครองแรงงาน</v>
      </c>
      <c r="E15" s="20" t="str">
        <f>Raw_Data_Copy!F15</f>
        <v>8/19/1998</v>
      </c>
      <c r="F15" s="19" t="e">
        <f t="shared" si="0"/>
        <v>#VALUE!</v>
      </c>
      <c r="G15" s="19" t="str">
        <f t="shared" si="1"/>
        <v>8/19/1998</v>
      </c>
      <c r="H15" s="19" t="str">
        <f>Raw_Data_Copy!I15</f>
        <v>Implemented</v>
      </c>
      <c r="I15" s="19" t="str">
        <f t="shared" si="2"/>
        <v>Implemented</v>
      </c>
      <c r="J15" s="19" t="str">
        <f>Raw_Data_Copy!L15</f>
        <v>Active</v>
      </c>
      <c r="K15" s="19" t="str">
        <f t="shared" si="3"/>
        <v>Active</v>
      </c>
      <c r="L15" s="19" t="str">
        <f>Raw_Data_Copy!J15</f>
        <v>จริง</v>
      </c>
      <c r="M15" s="19" t="str">
        <f>Raw_Data_Copy!K15</f>
        <v>สื่อสารผ่าน e-smart/ idoc</v>
      </c>
      <c r="N15" s="21">
        <f t="shared" si="4"/>
        <v>1</v>
      </c>
      <c r="O15" s="21">
        <f t="shared" si="5"/>
        <v>0</v>
      </c>
      <c r="P15" s="21">
        <f t="shared" si="6"/>
        <v>0</v>
      </c>
      <c r="Q15" s="21">
        <f t="shared" si="7"/>
        <v>1</v>
      </c>
      <c r="R15" s="21">
        <f t="shared" si="8"/>
        <v>0</v>
      </c>
      <c r="S15" s="21">
        <f t="shared" si="9"/>
        <v>0</v>
      </c>
      <c r="T15" s="21">
        <f t="shared" si="10"/>
        <v>0</v>
      </c>
      <c r="U15" s="21">
        <f t="shared" si="11"/>
        <v>0</v>
      </c>
      <c r="V15" s="21">
        <f t="shared" si="12"/>
        <v>0</v>
      </c>
      <c r="W15" s="21">
        <f t="shared" si="13"/>
        <v>0</v>
      </c>
      <c r="X15" s="19" t="str">
        <f>Raw_Data_Copy!G15</f>
        <v>https://legal.labour.go.th/images/law/Protection2541/2541_2.pdf</v>
      </c>
      <c r="Y15" s="19">
        <f>Raw_Data_Copy!D15</f>
        <v>0</v>
      </c>
      <c r="Z15" s="19" t="str">
        <f>Raw_Data_Copy!A15</f>
        <v>กฎกระทรวง</v>
      </c>
    </row>
    <row r="16" spans="1:26">
      <c r="A16" s="19">
        <v>16</v>
      </c>
      <c r="B16" s="19">
        <f>Raw_Data_Copy!B16</f>
        <v>15</v>
      </c>
      <c r="C16" s="19" t="str">
        <f>Raw_Data_Copy!E16</f>
        <v>กฎกระทรวง ฉบับที่ 3 (พ.ศ. 2541) ออกตามความในพระราชบัญญัติคุ้มครองแรงงาน พ.ศ. 2541</v>
      </c>
      <c r="D16" s="19" t="str">
        <f>Raw_Data_Copy!C16</f>
        <v>กฎหมายคุ้มครองแรงงาน</v>
      </c>
      <c r="E16" s="20" t="str">
        <f>Raw_Data_Copy!F16</f>
        <v>8/19/1998</v>
      </c>
      <c r="F16" s="19" t="e">
        <f t="shared" si="0"/>
        <v>#VALUE!</v>
      </c>
      <c r="G16" s="19" t="str">
        <f t="shared" si="1"/>
        <v>8/19/1998</v>
      </c>
      <c r="H16" s="19" t="str">
        <f>Raw_Data_Copy!I16</f>
        <v>Implemented</v>
      </c>
      <c r="I16" s="19" t="str">
        <f t="shared" si="2"/>
        <v>Implemented</v>
      </c>
      <c r="J16" s="19" t="str">
        <f>Raw_Data_Copy!L16</f>
        <v>Active</v>
      </c>
      <c r="K16" s="19" t="str">
        <f t="shared" si="3"/>
        <v>Active</v>
      </c>
      <c r="L16" s="19" t="str">
        <f>Raw_Data_Copy!J16</f>
        <v>จริง</v>
      </c>
      <c r="M16" s="19" t="str">
        <f>Raw_Data_Copy!K16</f>
        <v>สื่อสารผ่าน e-smart/ idoc</v>
      </c>
      <c r="N16" s="21">
        <f t="shared" si="4"/>
        <v>1</v>
      </c>
      <c r="O16" s="21">
        <f t="shared" si="5"/>
        <v>0</v>
      </c>
      <c r="P16" s="21">
        <f t="shared" si="6"/>
        <v>0</v>
      </c>
      <c r="Q16" s="21">
        <f t="shared" si="7"/>
        <v>1</v>
      </c>
      <c r="R16" s="21">
        <f t="shared" si="8"/>
        <v>0</v>
      </c>
      <c r="S16" s="21">
        <f t="shared" si="9"/>
        <v>0</v>
      </c>
      <c r="T16" s="21">
        <f t="shared" si="10"/>
        <v>0</v>
      </c>
      <c r="U16" s="21">
        <f t="shared" si="11"/>
        <v>0</v>
      </c>
      <c r="V16" s="21">
        <f t="shared" si="12"/>
        <v>0</v>
      </c>
      <c r="W16" s="21">
        <f t="shared" si="13"/>
        <v>0</v>
      </c>
      <c r="X16" s="19" t="str">
        <f>Raw_Data_Copy!G16</f>
        <v>https://legal.labour.go.th/images/law/Protection2541/2541_3.pdf</v>
      </c>
      <c r="Y16" s="19">
        <f>Raw_Data_Copy!D16</f>
        <v>0</v>
      </c>
      <c r="Z16" s="19" t="str">
        <f>Raw_Data_Copy!A16</f>
        <v>กฎกระทรวง</v>
      </c>
    </row>
    <row r="17" spans="1:26">
      <c r="A17" s="19">
        <v>17</v>
      </c>
      <c r="B17" s="19">
        <f>Raw_Data_Copy!B17</f>
        <v>16</v>
      </c>
      <c r="C17" s="19" t="str">
        <f>Raw_Data_Copy!E17</f>
        <v>กฎกระทรวง ฉบับที่ 4 (พ.ศ. 2541) ออกตามความในพระราชบัญญัติคุ้มครองแรงงาน พ.ศ. 2541</v>
      </c>
      <c r="D17" s="19" t="str">
        <f>Raw_Data_Copy!C17</f>
        <v>กฎหมายคุ้มครองแรงงาน</v>
      </c>
      <c r="E17" s="20" t="str">
        <f>Raw_Data_Copy!F17</f>
        <v>8/19/1998</v>
      </c>
      <c r="F17" s="19" t="e">
        <f t="shared" si="0"/>
        <v>#VALUE!</v>
      </c>
      <c r="G17" s="19" t="str">
        <f t="shared" si="1"/>
        <v>8/19/1998</v>
      </c>
      <c r="H17" s="19" t="str">
        <f>Raw_Data_Copy!I17</f>
        <v>Implemented</v>
      </c>
      <c r="I17" s="19" t="str">
        <f t="shared" si="2"/>
        <v>Implemented</v>
      </c>
      <c r="J17" s="19" t="str">
        <f>Raw_Data_Copy!L17</f>
        <v>Active</v>
      </c>
      <c r="K17" s="19" t="str">
        <f t="shared" si="3"/>
        <v>Active</v>
      </c>
      <c r="L17" s="19" t="str">
        <f>Raw_Data_Copy!J17</f>
        <v>จริง</v>
      </c>
      <c r="M17" s="19" t="str">
        <f>Raw_Data_Copy!K17</f>
        <v>สื่อสารผ่าน e-smart/ idoc</v>
      </c>
      <c r="N17" s="21">
        <f t="shared" si="4"/>
        <v>1</v>
      </c>
      <c r="O17" s="21">
        <f t="shared" si="5"/>
        <v>0</v>
      </c>
      <c r="P17" s="21">
        <f t="shared" si="6"/>
        <v>0</v>
      </c>
      <c r="Q17" s="21">
        <f t="shared" si="7"/>
        <v>1</v>
      </c>
      <c r="R17" s="21">
        <f t="shared" si="8"/>
        <v>0</v>
      </c>
      <c r="S17" s="21">
        <f t="shared" si="9"/>
        <v>0</v>
      </c>
      <c r="T17" s="21">
        <f t="shared" si="10"/>
        <v>0</v>
      </c>
      <c r="U17" s="21">
        <f t="shared" si="11"/>
        <v>0</v>
      </c>
      <c r="V17" s="21">
        <f t="shared" si="12"/>
        <v>0</v>
      </c>
      <c r="W17" s="21">
        <f t="shared" si="13"/>
        <v>0</v>
      </c>
      <c r="X17" s="19" t="str">
        <f>Raw_Data_Copy!G17</f>
        <v>https://legal.labour.go.th/images/law/Protection2541/2541_4.pdf</v>
      </c>
      <c r="Y17" s="19">
        <f>Raw_Data_Copy!D17</f>
        <v>0</v>
      </c>
      <c r="Z17" s="19" t="str">
        <f>Raw_Data_Copy!A17</f>
        <v>กฎกระทรวง</v>
      </c>
    </row>
    <row r="18" spans="1:26">
      <c r="A18" s="19">
        <v>18</v>
      </c>
      <c r="B18" s="19">
        <f>Raw_Data_Copy!B18</f>
        <v>17</v>
      </c>
      <c r="C18" s="19" t="str">
        <f>Raw_Data_Copy!E18</f>
        <v>กฎกระทรวง ฉบับที่ 5 (พ.ศ. 2541) ออกตามความในพระราชบัญญัติคุ้มครองแรงงาน พ.ศ. 2541</v>
      </c>
      <c r="D18" s="19" t="str">
        <f>Raw_Data_Copy!C18</f>
        <v>กฎหมายคุ้มครองแรงงาน</v>
      </c>
      <c r="E18" s="20" t="str">
        <f>Raw_Data_Copy!F18</f>
        <v>8/19/1998</v>
      </c>
      <c r="F18" s="19" t="e">
        <f t="shared" si="0"/>
        <v>#VALUE!</v>
      </c>
      <c r="G18" s="19" t="str">
        <f t="shared" si="1"/>
        <v>8/19/1998</v>
      </c>
      <c r="H18" s="19" t="str">
        <f>Raw_Data_Copy!I18</f>
        <v>Implemented</v>
      </c>
      <c r="I18" s="19" t="str">
        <f t="shared" si="2"/>
        <v>Implemented</v>
      </c>
      <c r="J18" s="19" t="str">
        <f>Raw_Data_Copy!L18</f>
        <v>Active</v>
      </c>
      <c r="K18" s="19" t="str">
        <f t="shared" si="3"/>
        <v>Active</v>
      </c>
      <c r="L18" s="19" t="str">
        <f>Raw_Data_Copy!J18</f>
        <v>จริง</v>
      </c>
      <c r="M18" s="19" t="str">
        <f>Raw_Data_Copy!K18</f>
        <v>สื่อสารผ่าน e-smart/ idoc</v>
      </c>
      <c r="N18" s="21">
        <f t="shared" si="4"/>
        <v>1</v>
      </c>
      <c r="O18" s="21">
        <f t="shared" si="5"/>
        <v>0</v>
      </c>
      <c r="P18" s="21">
        <f t="shared" si="6"/>
        <v>0</v>
      </c>
      <c r="Q18" s="21">
        <f t="shared" si="7"/>
        <v>1</v>
      </c>
      <c r="R18" s="21">
        <f t="shared" si="8"/>
        <v>0</v>
      </c>
      <c r="S18" s="21">
        <f t="shared" si="9"/>
        <v>0</v>
      </c>
      <c r="T18" s="21">
        <f t="shared" si="10"/>
        <v>0</v>
      </c>
      <c r="U18" s="21">
        <f t="shared" si="11"/>
        <v>0</v>
      </c>
      <c r="V18" s="21">
        <f t="shared" si="12"/>
        <v>0</v>
      </c>
      <c r="W18" s="21">
        <f t="shared" si="13"/>
        <v>0</v>
      </c>
      <c r="X18" s="19" t="str">
        <f>Raw_Data_Copy!G18</f>
        <v>https://legal.labour.go.th/images/law/Protection2541/2541_5.pdf</v>
      </c>
      <c r="Y18" s="19">
        <f>Raw_Data_Copy!D18</f>
        <v>0</v>
      </c>
      <c r="Z18" s="19" t="str">
        <f>Raw_Data_Copy!A18</f>
        <v>กฎกระทรวง</v>
      </c>
    </row>
    <row r="19" spans="1:26">
      <c r="A19" s="19">
        <v>19</v>
      </c>
      <c r="B19" s="19">
        <f>Raw_Data_Copy!B19</f>
        <v>18</v>
      </c>
      <c r="C19" s="19" t="str">
        <f>Raw_Data_Copy!E19</f>
        <v>กฎกระทรวง ฉบับที่ 6 (พ.ศ. 2541) ออกตามความในพระราชบัญญัติคุ้มครองแรงงาน พ.ศ. 2541</v>
      </c>
      <c r="D19" s="19" t="str">
        <f>Raw_Data_Copy!C19</f>
        <v>กฎหมายคุ้มครองแรงงาน</v>
      </c>
      <c r="E19" s="20" t="str">
        <f>Raw_Data_Copy!F19</f>
        <v>8/19/1998</v>
      </c>
      <c r="F19" s="19" t="e">
        <f t="shared" si="0"/>
        <v>#VALUE!</v>
      </c>
      <c r="G19" s="19" t="str">
        <f t="shared" si="1"/>
        <v>8/19/1998</v>
      </c>
      <c r="H19" s="19" t="str">
        <f>Raw_Data_Copy!I19</f>
        <v>Implemented</v>
      </c>
      <c r="I19" s="19" t="str">
        <f t="shared" si="2"/>
        <v>Implemented</v>
      </c>
      <c r="J19" s="19" t="str">
        <f>Raw_Data_Copy!L19</f>
        <v>Active</v>
      </c>
      <c r="K19" s="19" t="str">
        <f t="shared" si="3"/>
        <v>Active</v>
      </c>
      <c r="L19" s="19" t="str">
        <f>Raw_Data_Copy!J19</f>
        <v>จริง</v>
      </c>
      <c r="M19" s="19" t="str">
        <f>Raw_Data_Copy!K19</f>
        <v>สื่อสารผ่าน e-smart/ idoc</v>
      </c>
      <c r="N19" s="21">
        <f t="shared" si="4"/>
        <v>1</v>
      </c>
      <c r="O19" s="21">
        <f t="shared" si="5"/>
        <v>0</v>
      </c>
      <c r="P19" s="21">
        <f t="shared" si="6"/>
        <v>0</v>
      </c>
      <c r="Q19" s="21">
        <f t="shared" si="7"/>
        <v>1</v>
      </c>
      <c r="R19" s="21">
        <f t="shared" si="8"/>
        <v>0</v>
      </c>
      <c r="S19" s="21">
        <f t="shared" si="9"/>
        <v>0</v>
      </c>
      <c r="T19" s="21">
        <f t="shared" si="10"/>
        <v>0</v>
      </c>
      <c r="U19" s="21">
        <f t="shared" si="11"/>
        <v>0</v>
      </c>
      <c r="V19" s="21">
        <f t="shared" si="12"/>
        <v>0</v>
      </c>
      <c r="W19" s="21">
        <f t="shared" si="13"/>
        <v>0</v>
      </c>
      <c r="X19" s="19" t="str">
        <f>Raw_Data_Copy!G19</f>
        <v>https://legal.labour.go.th/images/law/Protection2541/2541_6.pdf</v>
      </c>
      <c r="Y19" s="19">
        <f>Raw_Data_Copy!D19</f>
        <v>0</v>
      </c>
      <c r="Z19" s="19" t="str">
        <f>Raw_Data_Copy!A19</f>
        <v>กฎกระทรวง</v>
      </c>
    </row>
    <row r="20" spans="1:26">
      <c r="A20" s="19">
        <v>20</v>
      </c>
      <c r="B20" s="19">
        <f>Raw_Data_Copy!B20</f>
        <v>19</v>
      </c>
      <c r="C20" s="19" t="str">
        <f>Raw_Data_Copy!E20</f>
        <v>กฎกระทรวง ฉบับที่ 12 (พ.ศ. 2541) ออกตามความในพระราชบัญญัติคุ้มครองแรงงาน พ.ศ. 2541</v>
      </c>
      <c r="D20" s="19" t="str">
        <f>Raw_Data_Copy!C20</f>
        <v>กฎหมายคุ้มครองแรงงาน</v>
      </c>
      <c r="E20" s="20" t="str">
        <f>Raw_Data_Copy!F20</f>
        <v>9/14/1998</v>
      </c>
      <c r="F20" s="19" t="e">
        <f t="shared" si="0"/>
        <v>#VALUE!</v>
      </c>
      <c r="G20" s="19" t="str">
        <f t="shared" si="1"/>
        <v>9/14/1998</v>
      </c>
      <c r="H20" s="19" t="str">
        <f>Raw_Data_Copy!I20</f>
        <v>Implemented</v>
      </c>
      <c r="I20" s="19" t="str">
        <f t="shared" si="2"/>
        <v>Implemented</v>
      </c>
      <c r="J20" s="19" t="str">
        <f>Raw_Data_Copy!L20</f>
        <v>Active</v>
      </c>
      <c r="K20" s="19" t="str">
        <f t="shared" si="3"/>
        <v>Active</v>
      </c>
      <c r="L20" s="19" t="str">
        <f>Raw_Data_Copy!J20</f>
        <v>จริง</v>
      </c>
      <c r="M20" s="19" t="str">
        <f>Raw_Data_Copy!K20</f>
        <v>สื่อสารผ่าน e-smart/ idoc</v>
      </c>
      <c r="N20" s="21">
        <f t="shared" si="4"/>
        <v>1</v>
      </c>
      <c r="O20" s="21">
        <f t="shared" si="5"/>
        <v>0</v>
      </c>
      <c r="P20" s="21">
        <f t="shared" si="6"/>
        <v>0</v>
      </c>
      <c r="Q20" s="21">
        <f t="shared" si="7"/>
        <v>1</v>
      </c>
      <c r="R20" s="21">
        <f t="shared" si="8"/>
        <v>0</v>
      </c>
      <c r="S20" s="21">
        <f t="shared" si="9"/>
        <v>0</v>
      </c>
      <c r="T20" s="21">
        <f t="shared" si="10"/>
        <v>0</v>
      </c>
      <c r="U20" s="21">
        <f t="shared" si="11"/>
        <v>0</v>
      </c>
      <c r="V20" s="21">
        <f t="shared" si="12"/>
        <v>0</v>
      </c>
      <c r="W20" s="21">
        <f t="shared" si="13"/>
        <v>0</v>
      </c>
      <c r="X20" s="19" t="str">
        <f>Raw_Data_Copy!G20</f>
        <v>https://legal.labour.go.th/images/law/Protection2541/2541_12.pdf</v>
      </c>
      <c r="Y20" s="19">
        <f>Raw_Data_Copy!D20</f>
        <v>0</v>
      </c>
      <c r="Z20" s="19" t="str">
        <f>Raw_Data_Copy!A20</f>
        <v>กฎกระทรวง</v>
      </c>
    </row>
    <row r="21" spans="1:26">
      <c r="A21" s="19">
        <v>21</v>
      </c>
      <c r="B21" s="19">
        <f>Raw_Data_Copy!B21</f>
        <v>20</v>
      </c>
      <c r="C21" s="19" t="str">
        <f>Raw_Data_Copy!E21</f>
        <v>กฎกระทรวง ฉบับที่ 13 (พ.ศ. 2543) ออกตามความในพระราชบัญญัติคุ้มครองแรงงาน พ.ศ. 2541</v>
      </c>
      <c r="D21" s="19" t="str">
        <f>Raw_Data_Copy!C21</f>
        <v>กฎหมายคุ้มครองแรงงาน</v>
      </c>
      <c r="E21" s="20" t="str">
        <f>Raw_Data_Copy!F21</f>
        <v>1/24/2000</v>
      </c>
      <c r="F21" s="19" t="e">
        <f t="shared" si="0"/>
        <v>#VALUE!</v>
      </c>
      <c r="G21" s="19" t="str">
        <f t="shared" si="1"/>
        <v>1/24/2000</v>
      </c>
      <c r="H21" s="19" t="str">
        <f>Raw_Data_Copy!I21</f>
        <v>Implemented</v>
      </c>
      <c r="I21" s="19" t="str">
        <f t="shared" si="2"/>
        <v>Implemented</v>
      </c>
      <c r="J21" s="19" t="str">
        <f>Raw_Data_Copy!L21</f>
        <v>Active</v>
      </c>
      <c r="K21" s="19" t="str">
        <f t="shared" si="3"/>
        <v>Active</v>
      </c>
      <c r="L21" s="19" t="str">
        <f>Raw_Data_Copy!J21</f>
        <v>จริง</v>
      </c>
      <c r="M21" s="19" t="str">
        <f>Raw_Data_Copy!K21</f>
        <v>สื่อสารผ่าน e-smart/ idoc</v>
      </c>
      <c r="N21" s="21">
        <f t="shared" si="4"/>
        <v>1</v>
      </c>
      <c r="O21" s="21">
        <f t="shared" si="5"/>
        <v>0</v>
      </c>
      <c r="P21" s="21">
        <f t="shared" si="6"/>
        <v>0</v>
      </c>
      <c r="Q21" s="21">
        <f t="shared" si="7"/>
        <v>1</v>
      </c>
      <c r="R21" s="21">
        <f t="shared" si="8"/>
        <v>0</v>
      </c>
      <c r="S21" s="21">
        <f t="shared" si="9"/>
        <v>0</v>
      </c>
      <c r="T21" s="21">
        <f t="shared" si="10"/>
        <v>0</v>
      </c>
      <c r="U21" s="21">
        <f t="shared" si="11"/>
        <v>0</v>
      </c>
      <c r="V21" s="21">
        <f t="shared" si="12"/>
        <v>0</v>
      </c>
      <c r="W21" s="21">
        <f t="shared" si="13"/>
        <v>0</v>
      </c>
      <c r="X21" s="19" t="str">
        <f>Raw_Data_Copy!G21</f>
        <v>https://legal.labour.go.th/images/law/Protection2541/2541_13.pdf</v>
      </c>
      <c r="Y21" s="19">
        <f>Raw_Data_Copy!D21</f>
        <v>0</v>
      </c>
      <c r="Z21" s="19" t="str">
        <f>Raw_Data_Copy!A21</f>
        <v>กฎกระทรวง</v>
      </c>
    </row>
    <row r="22" spans="1:26">
      <c r="A22" s="19">
        <v>22</v>
      </c>
      <c r="B22" s="19">
        <f>Raw_Data_Copy!B22</f>
        <v>21</v>
      </c>
      <c r="C22" s="19" t="str">
        <f>Raw_Data_Copy!E22</f>
        <v>กฎกระทรวงกำหนดอัตราเงินสมทบกองทุนประกันสังคม พ.ศ. 2565</v>
      </c>
      <c r="D22" s="19" t="str">
        <f>Raw_Data_Copy!C22</f>
        <v>กฎหมายประกันสังคม</v>
      </c>
      <c r="E22" s="20">
        <f>Raw_Data_Copy!F22</f>
        <v>44652</v>
      </c>
      <c r="F22" s="19">
        <f t="shared" si="0"/>
        <v>2022</v>
      </c>
      <c r="G22" s="19" t="str">
        <f t="shared" si="1"/>
        <v>2022-04</v>
      </c>
      <c r="H22" s="19" t="str">
        <f>Raw_Data_Copy!I22</f>
        <v>Implemented</v>
      </c>
      <c r="I22" s="19" t="str">
        <f t="shared" si="2"/>
        <v>Implemented</v>
      </c>
      <c r="J22" s="19" t="str">
        <f>Raw_Data_Copy!L22</f>
        <v>Active</v>
      </c>
      <c r="K22" s="19" t="str">
        <f t="shared" si="3"/>
        <v>Active</v>
      </c>
      <c r="L22" s="19" t="str">
        <f>Raw_Data_Copy!J22</f>
        <v>จริง</v>
      </c>
      <c r="M22" s="19" t="str">
        <f>Raw_Data_Copy!K22</f>
        <v>สื่อสารผ่าน e-smart/ idoc</v>
      </c>
      <c r="N22" s="21">
        <f t="shared" si="4"/>
        <v>1</v>
      </c>
      <c r="O22" s="21">
        <f t="shared" si="5"/>
        <v>0</v>
      </c>
      <c r="P22" s="21">
        <f t="shared" si="6"/>
        <v>0</v>
      </c>
      <c r="Q22" s="21">
        <f t="shared" si="7"/>
        <v>1</v>
      </c>
      <c r="R22" s="21">
        <f t="shared" si="8"/>
        <v>0</v>
      </c>
      <c r="S22" s="21">
        <f t="shared" si="9"/>
        <v>0</v>
      </c>
      <c r="T22" s="21">
        <f t="shared" si="10"/>
        <v>0</v>
      </c>
      <c r="U22" s="21">
        <f t="shared" si="11"/>
        <v>0</v>
      </c>
      <c r="V22" s="21">
        <f t="shared" si="12"/>
        <v>0</v>
      </c>
      <c r="W22" s="21">
        <f t="shared" si="13"/>
        <v>0</v>
      </c>
      <c r="X22" s="19" t="str">
        <f>Raw_Data_Copy!G22</f>
        <v>https://www.sso.go.th/wpr/assets/upload/files_storage/sso_th/61b1cf134d15fcbbcf8f791d9b838367.pdf</v>
      </c>
      <c r="Y22" s="19">
        <f>Raw_Data_Copy!D22</f>
        <v>0</v>
      </c>
      <c r="Z22" s="19" t="str">
        <f>Raw_Data_Copy!A22</f>
        <v>กฎกระทรวง</v>
      </c>
    </row>
    <row r="23" spans="1:26">
      <c r="A23" s="19">
        <v>23</v>
      </c>
      <c r="B23" s="19">
        <f>Raw_Data_Copy!B23</f>
        <v>22</v>
      </c>
      <c r="C23" s="19" t="str">
        <f>Raw_Data_Copy!E23</f>
        <v>กฎกระทรวงค่าฟื้นฟูสมรรถภาพในการทำงานที่ให้นายจ้างจ่าย พ.ศ. 2563</v>
      </c>
      <c r="D23" s="19" t="str">
        <f>Raw_Data_Copy!C23</f>
        <v>กฎหมายประกันสังคม</v>
      </c>
      <c r="E23" s="20" t="str">
        <f>Raw_Data_Copy!F23</f>
        <v>3/26/2020</v>
      </c>
      <c r="F23" s="19" t="e">
        <f t="shared" si="0"/>
        <v>#VALUE!</v>
      </c>
      <c r="G23" s="19" t="str">
        <f t="shared" si="1"/>
        <v>3/26/2020</v>
      </c>
      <c r="H23" s="19" t="str">
        <f>Raw_Data_Copy!I23</f>
        <v>Implemented</v>
      </c>
      <c r="I23" s="19" t="str">
        <f t="shared" si="2"/>
        <v>Implemented</v>
      </c>
      <c r="J23" s="19" t="str">
        <f>Raw_Data_Copy!L23</f>
        <v>Active</v>
      </c>
      <c r="K23" s="19" t="str">
        <f t="shared" si="3"/>
        <v>Active</v>
      </c>
      <c r="L23" s="19" t="str">
        <f>Raw_Data_Copy!J23</f>
        <v>จริง</v>
      </c>
      <c r="M23" s="19" t="str">
        <f>Raw_Data_Copy!K23</f>
        <v>สื่อสารผ่าน e-smart/ idoc</v>
      </c>
      <c r="N23" s="21">
        <f t="shared" si="4"/>
        <v>1</v>
      </c>
      <c r="O23" s="21">
        <f t="shared" si="5"/>
        <v>0</v>
      </c>
      <c r="P23" s="21">
        <f t="shared" si="6"/>
        <v>0</v>
      </c>
      <c r="Q23" s="21">
        <f t="shared" si="7"/>
        <v>1</v>
      </c>
      <c r="R23" s="21">
        <f t="shared" si="8"/>
        <v>0</v>
      </c>
      <c r="S23" s="21">
        <f t="shared" si="9"/>
        <v>0</v>
      </c>
      <c r="T23" s="21">
        <f t="shared" si="10"/>
        <v>0</v>
      </c>
      <c r="U23" s="21">
        <f t="shared" si="11"/>
        <v>0</v>
      </c>
      <c r="V23" s="21">
        <f t="shared" si="12"/>
        <v>0</v>
      </c>
      <c r="W23" s="21">
        <f t="shared" si="13"/>
        <v>0</v>
      </c>
      <c r="X23" s="19" t="str">
        <f>Raw_Data_Copy!G23</f>
        <v>https://www.sso.go.th/wpr/assets/upload/files_storage/sso_th/8742268c94cafccf89f30ddc50c83af5.pdf</v>
      </c>
      <c r="Y23" s="19">
        <f>Raw_Data_Copy!D23</f>
        <v>0</v>
      </c>
      <c r="Z23" s="19" t="str">
        <f>Raw_Data_Copy!A23</f>
        <v>กฎกระทรวง</v>
      </c>
    </row>
    <row r="24" spans="1:26">
      <c r="A24" s="19">
        <v>24</v>
      </c>
      <c r="B24" s="19">
        <f>Raw_Data_Copy!B24</f>
        <v>23</v>
      </c>
      <c r="C24" s="19" t="str">
        <f>Raw_Data_Copy!E24</f>
        <v>กฎกระทรวง ค่ารักษาพยาบาลที่ให้นายจ้างจ่าย พ.ศ. 2563</v>
      </c>
      <c r="D24" s="19" t="str">
        <f>Raw_Data_Copy!C24</f>
        <v>กฎหมายประกันสังคม</v>
      </c>
      <c r="E24" s="20">
        <f>Raw_Data_Copy!F24</f>
        <v>0</v>
      </c>
      <c r="F24" s="19">
        <f t="shared" si="0"/>
        <v>1900</v>
      </c>
      <c r="G24" s="19" t="str">
        <f t="shared" si="1"/>
        <v>1900-01</v>
      </c>
      <c r="H24" s="19" t="str">
        <f>Raw_Data_Copy!I24</f>
        <v>Implemented</v>
      </c>
      <c r="I24" s="19" t="str">
        <f t="shared" si="2"/>
        <v>Implemented</v>
      </c>
      <c r="J24" s="19" t="str">
        <f>Raw_Data_Copy!L24</f>
        <v>Active</v>
      </c>
      <c r="K24" s="19" t="str">
        <f t="shared" si="3"/>
        <v>Active</v>
      </c>
      <c r="L24" s="19" t="str">
        <f>Raw_Data_Copy!J24</f>
        <v>จริง</v>
      </c>
      <c r="M24" s="19" t="str">
        <f>Raw_Data_Copy!K24</f>
        <v>สื่อสารผ่าน e-smart/ idoc</v>
      </c>
      <c r="N24" s="21">
        <f t="shared" si="4"/>
        <v>1</v>
      </c>
      <c r="O24" s="21">
        <f t="shared" si="5"/>
        <v>0</v>
      </c>
      <c r="P24" s="21">
        <f t="shared" si="6"/>
        <v>0</v>
      </c>
      <c r="Q24" s="21">
        <f t="shared" si="7"/>
        <v>1</v>
      </c>
      <c r="R24" s="21">
        <f t="shared" si="8"/>
        <v>0</v>
      </c>
      <c r="S24" s="21">
        <f t="shared" si="9"/>
        <v>0</v>
      </c>
      <c r="T24" s="21">
        <f t="shared" si="10"/>
        <v>0</v>
      </c>
      <c r="U24" s="21">
        <f t="shared" si="11"/>
        <v>0</v>
      </c>
      <c r="V24" s="21">
        <f t="shared" si="12"/>
        <v>0</v>
      </c>
      <c r="W24" s="21">
        <f t="shared" si="13"/>
        <v>0</v>
      </c>
      <c r="X24" s="19" t="str">
        <f>Raw_Data_Copy!G24</f>
        <v>https://www.sso.go.th/wpr/assets/upload/files_storage/sso_th/8e53d6555bb1dacfe7e1a420467424e5.pdf</v>
      </c>
      <c r="Y24" s="19">
        <f>Raw_Data_Copy!D24</f>
        <v>0</v>
      </c>
      <c r="Z24" s="19" t="str">
        <f>Raw_Data_Copy!A24</f>
        <v>กฎกระทรวง</v>
      </c>
    </row>
    <row r="25" spans="1:26">
      <c r="A25" s="19">
        <v>25</v>
      </c>
      <c r="B25" s="19">
        <f>Raw_Data_Copy!B25</f>
        <v>24</v>
      </c>
      <c r="C25" s="19" t="str">
        <f>Raw_Data_Copy!E25</f>
        <v>กฎกระทรวง กำหนดอัตราค่าทำศพที่ให้นายจ้างจ่าย พ.ศ. 2565</v>
      </c>
      <c r="D25" s="19" t="str">
        <f>Raw_Data_Copy!C25</f>
        <v>กฎหมายคุ้มครองแรงงาน</v>
      </c>
      <c r="E25" s="20">
        <f>Raw_Data_Copy!F25</f>
        <v>44749</v>
      </c>
      <c r="F25" s="19">
        <f t="shared" si="0"/>
        <v>2022</v>
      </c>
      <c r="G25" s="19" t="str">
        <f t="shared" si="1"/>
        <v>2022-07</v>
      </c>
      <c r="H25" s="19" t="str">
        <f>Raw_Data_Copy!I25</f>
        <v>Implemented</v>
      </c>
      <c r="I25" s="19" t="str">
        <f t="shared" si="2"/>
        <v>Implemented</v>
      </c>
      <c r="J25" s="19" t="str">
        <f>Raw_Data_Copy!L25</f>
        <v>Active</v>
      </c>
      <c r="K25" s="19" t="str">
        <f t="shared" si="3"/>
        <v>Active</v>
      </c>
      <c r="L25" s="19" t="str">
        <f>Raw_Data_Copy!J25</f>
        <v>จริง</v>
      </c>
      <c r="M25" s="19" t="str">
        <f>Raw_Data_Copy!K25</f>
        <v>สื่อสารผ่าน e-smart/ idoc</v>
      </c>
      <c r="N25" s="21">
        <f t="shared" si="4"/>
        <v>1</v>
      </c>
      <c r="O25" s="21">
        <f t="shared" si="5"/>
        <v>0</v>
      </c>
      <c r="P25" s="21">
        <f t="shared" si="6"/>
        <v>0</v>
      </c>
      <c r="Q25" s="21">
        <f t="shared" si="7"/>
        <v>1</v>
      </c>
      <c r="R25" s="21">
        <f t="shared" si="8"/>
        <v>0</v>
      </c>
      <c r="S25" s="21">
        <f t="shared" si="9"/>
        <v>0</v>
      </c>
      <c r="T25" s="21">
        <f t="shared" si="10"/>
        <v>0</v>
      </c>
      <c r="U25" s="21">
        <f t="shared" si="11"/>
        <v>0</v>
      </c>
      <c r="V25" s="21">
        <f t="shared" si="12"/>
        <v>0</v>
      </c>
      <c r="W25" s="21">
        <f t="shared" si="13"/>
        <v>0</v>
      </c>
      <c r="X25" s="19" t="str">
        <f>Raw_Data_Copy!G25</f>
        <v>https://www.sso.go.th/wpr/assets/upload/files_storage/sso_th/35959cbcd4d03cb4a672596e54f9a9f8.pdf</v>
      </c>
      <c r="Y25" s="19">
        <f>Raw_Data_Copy!D25</f>
        <v>0</v>
      </c>
      <c r="Z25" s="19" t="str">
        <f>Raw_Data_Copy!A25</f>
        <v>กฎกระทรวง</v>
      </c>
    </row>
    <row r="26" spans="1:26">
      <c r="A26" s="19">
        <v>26</v>
      </c>
      <c r="B26" s="19">
        <f>Raw_Data_Copy!B26</f>
        <v>25</v>
      </c>
      <c r="C26" s="19" t="str">
        <f>Raw_Data_Copy!E26</f>
        <v>กฎกระทรวง กำหนดหลักเกณฑ์และอัตราการได้รับประโยชน์ทดแทนในการว่างงาน พ.ศ. 2547</v>
      </c>
      <c r="D26" s="19" t="str">
        <f>Raw_Data_Copy!C26</f>
        <v>กฎหมายคุ้มครองแรงงาน</v>
      </c>
      <c r="E26" s="20" t="str">
        <f>Raw_Data_Copy!F26</f>
        <v>6/30/2022</v>
      </c>
      <c r="F26" s="19" t="e">
        <f t="shared" si="0"/>
        <v>#VALUE!</v>
      </c>
      <c r="G26" s="19" t="str">
        <f t="shared" si="1"/>
        <v>6/30/2022</v>
      </c>
      <c r="H26" s="19" t="str">
        <f>Raw_Data_Copy!I26</f>
        <v>Implemented</v>
      </c>
      <c r="I26" s="19" t="str">
        <f t="shared" si="2"/>
        <v>Implemented</v>
      </c>
      <c r="J26" s="19" t="str">
        <f>Raw_Data_Copy!L26</f>
        <v>Active</v>
      </c>
      <c r="K26" s="19" t="str">
        <f t="shared" si="3"/>
        <v>Active</v>
      </c>
      <c r="L26" s="19" t="str">
        <f>Raw_Data_Copy!J26</f>
        <v>จริง</v>
      </c>
      <c r="M26" s="19" t="str">
        <f>Raw_Data_Copy!K26</f>
        <v>สื่อสารผ่าน e-smart/ idoc</v>
      </c>
      <c r="N26" s="21">
        <f t="shared" si="4"/>
        <v>1</v>
      </c>
      <c r="O26" s="21">
        <f t="shared" si="5"/>
        <v>0</v>
      </c>
      <c r="P26" s="21">
        <f t="shared" si="6"/>
        <v>0</v>
      </c>
      <c r="Q26" s="21">
        <f t="shared" si="7"/>
        <v>1</v>
      </c>
      <c r="R26" s="21">
        <f t="shared" si="8"/>
        <v>0</v>
      </c>
      <c r="S26" s="21">
        <f t="shared" si="9"/>
        <v>0</v>
      </c>
      <c r="T26" s="21">
        <f t="shared" si="10"/>
        <v>0</v>
      </c>
      <c r="U26" s="21">
        <f t="shared" si="11"/>
        <v>0</v>
      </c>
      <c r="V26" s="21">
        <f t="shared" si="12"/>
        <v>0</v>
      </c>
      <c r="W26" s="21">
        <f t="shared" si="13"/>
        <v>0</v>
      </c>
      <c r="X26" s="19" t="str">
        <f>Raw_Data_Copy!G26</f>
        <v>https://ratchakitcha.soc.go.th/documents/142482.pdf</v>
      </c>
      <c r="Y26" s="19">
        <f>Raw_Data_Copy!D26</f>
        <v>142482</v>
      </c>
      <c r="Z26" s="19" t="str">
        <f>Raw_Data_Copy!A26</f>
        <v>กฎกระทรวง</v>
      </c>
    </row>
    <row r="27" spans="1:26">
      <c r="A27" s="19">
        <v>27</v>
      </c>
      <c r="B27" s="19">
        <f>Raw_Data_Copy!B27</f>
        <v>26</v>
      </c>
      <c r="C27" s="19" t="str">
        <f>Raw_Data_Copy!E27</f>
        <v>กฎกระทรวง การได้รับประโยชน์ทดแทนในการขาดรายได้กรณีเหตุสุดวิสัย พ.ศ. 2560</v>
      </c>
      <c r="D27" s="19" t="str">
        <f>Raw_Data_Copy!C27</f>
        <v>กฎหมายประกันสังคม</v>
      </c>
      <c r="E27" s="20" t="str">
        <f>Raw_Data_Copy!F27</f>
        <v>1/17/2017</v>
      </c>
      <c r="F27" s="19" t="e">
        <f t="shared" si="0"/>
        <v>#VALUE!</v>
      </c>
      <c r="G27" s="19" t="str">
        <f t="shared" si="1"/>
        <v>1/17/2017</v>
      </c>
      <c r="H27" s="19" t="str">
        <f>Raw_Data_Copy!I27</f>
        <v>Implemented</v>
      </c>
      <c r="I27" s="19" t="str">
        <f t="shared" si="2"/>
        <v>Implemented</v>
      </c>
      <c r="J27" s="19" t="str">
        <f>Raw_Data_Copy!L27</f>
        <v>Active</v>
      </c>
      <c r="K27" s="19" t="str">
        <f t="shared" si="3"/>
        <v>Active</v>
      </c>
      <c r="L27" s="19" t="str">
        <f>Raw_Data_Copy!J27</f>
        <v>จริง</v>
      </c>
      <c r="M27" s="19" t="str">
        <f>Raw_Data_Copy!K27</f>
        <v>e-smart / I-Document</v>
      </c>
      <c r="N27" s="21">
        <f t="shared" si="4"/>
        <v>1</v>
      </c>
      <c r="O27" s="21">
        <f t="shared" si="5"/>
        <v>0</v>
      </c>
      <c r="P27" s="21">
        <f t="shared" si="6"/>
        <v>0</v>
      </c>
      <c r="Q27" s="21">
        <f t="shared" si="7"/>
        <v>1</v>
      </c>
      <c r="R27" s="21">
        <f t="shared" si="8"/>
        <v>0</v>
      </c>
      <c r="S27" s="21">
        <f t="shared" si="9"/>
        <v>0</v>
      </c>
      <c r="T27" s="21">
        <f t="shared" si="10"/>
        <v>0</v>
      </c>
      <c r="U27" s="21">
        <f t="shared" si="11"/>
        <v>0</v>
      </c>
      <c r="V27" s="21">
        <f t="shared" si="12"/>
        <v>0</v>
      </c>
      <c r="W27" s="21">
        <f t="shared" si="13"/>
        <v>0</v>
      </c>
      <c r="X27" s="19" t="str">
        <f>Raw_Data_Copy!G27</f>
        <v>https://ratchakitcha.soc.go.th/documents/2096789.pdf</v>
      </c>
      <c r="Y27" s="19">
        <f>Raw_Data_Copy!D27</f>
        <v>2096789</v>
      </c>
      <c r="Z27" s="19" t="str">
        <f>Raw_Data_Copy!A27</f>
        <v>กฎกระทรวง</v>
      </c>
    </row>
    <row r="28" spans="1:26">
      <c r="A28" s="19">
        <v>28</v>
      </c>
      <c r="B28" s="19">
        <f>Raw_Data_Copy!B28</f>
        <v>27</v>
      </c>
      <c r="C28" s="19" t="str">
        <f>Raw_Data_Copy!E28</f>
        <v>กฎกระทรวง การจ่ายประโยชน์ทดแทนในกรณีสงเคราะห์บุตร (ฉบับที่ 3) พ.ศ. 2567</v>
      </c>
      <c r="D28" s="19" t="str">
        <f>Raw_Data_Copy!C28</f>
        <v>กฎหมายประกันสังคม</v>
      </c>
      <c r="E28" s="20" t="str">
        <f>Raw_Data_Copy!F28</f>
        <v>12/26/2024</v>
      </c>
      <c r="F28" s="19" t="e">
        <f t="shared" si="0"/>
        <v>#VALUE!</v>
      </c>
      <c r="G28" s="19" t="str">
        <f t="shared" si="1"/>
        <v>12/26/2024</v>
      </c>
      <c r="H28" s="19" t="str">
        <f>Raw_Data_Copy!I28</f>
        <v>Implemented</v>
      </c>
      <c r="I28" s="19" t="str">
        <f t="shared" si="2"/>
        <v>Implemented</v>
      </c>
      <c r="J28" s="19" t="str">
        <f>Raw_Data_Copy!L28</f>
        <v>Active</v>
      </c>
      <c r="K28" s="19" t="str">
        <f t="shared" si="3"/>
        <v>Active</v>
      </c>
      <c r="L28" s="19" t="str">
        <f>Raw_Data_Copy!J28</f>
        <v>จริง</v>
      </c>
      <c r="M28" s="19" t="str">
        <f>Raw_Data_Copy!K28</f>
        <v>สื่อสารผ่าน e-smart/ idoc</v>
      </c>
      <c r="N28" s="21">
        <f t="shared" si="4"/>
        <v>1</v>
      </c>
      <c r="O28" s="21">
        <f t="shared" si="5"/>
        <v>0</v>
      </c>
      <c r="P28" s="21">
        <f t="shared" si="6"/>
        <v>0</v>
      </c>
      <c r="Q28" s="21">
        <f t="shared" si="7"/>
        <v>1</v>
      </c>
      <c r="R28" s="21">
        <f t="shared" si="8"/>
        <v>0</v>
      </c>
      <c r="S28" s="21">
        <f t="shared" si="9"/>
        <v>0</v>
      </c>
      <c r="T28" s="21">
        <f t="shared" si="10"/>
        <v>0</v>
      </c>
      <c r="U28" s="21">
        <f t="shared" si="11"/>
        <v>0</v>
      </c>
      <c r="V28" s="21">
        <f t="shared" si="12"/>
        <v>0</v>
      </c>
      <c r="W28" s="21">
        <f t="shared" si="13"/>
        <v>0</v>
      </c>
      <c r="X28" s="19" t="str">
        <f>Raw_Data_Copy!G28</f>
        <v>https://ratchakitcha.soc.go.th/documents/54513.pdf</v>
      </c>
      <c r="Y28" s="19">
        <f>Raw_Data_Copy!D28</f>
        <v>54513</v>
      </c>
      <c r="Z28" s="19" t="str">
        <f>Raw_Data_Copy!A28</f>
        <v>กฎกระทรวง</v>
      </c>
    </row>
    <row r="29" spans="1:26">
      <c r="A29" s="19">
        <v>29</v>
      </c>
      <c r="B29" s="19">
        <f>Raw_Data_Copy!B29</f>
        <v>28</v>
      </c>
      <c r="C29" s="19" t="str">
        <f>Raw_Data_Copy!E29</f>
        <v>ประกาศสำนักงานประกันสังคม เรื่อง กำหนดผลประโยชน์บำเน็จเงินชราภาพของผู้ประกันตนตามมาตรา 33 และมาตรา 39</v>
      </c>
      <c r="D29" s="19" t="str">
        <f>Raw_Data_Copy!C29</f>
        <v>กฎหมายประกันสังคม</v>
      </c>
      <c r="E29" s="20" t="str">
        <f>Raw_Data_Copy!F29</f>
        <v>2/24/2022</v>
      </c>
      <c r="F29" s="19" t="e">
        <f t="shared" si="0"/>
        <v>#VALUE!</v>
      </c>
      <c r="G29" s="19" t="str">
        <f t="shared" si="1"/>
        <v>2/24/2022</v>
      </c>
      <c r="H29" s="19" t="str">
        <f>Raw_Data_Copy!I29</f>
        <v>Implemented</v>
      </c>
      <c r="I29" s="19" t="str">
        <f t="shared" si="2"/>
        <v>Implemented</v>
      </c>
      <c r="J29" s="19" t="str">
        <f>Raw_Data_Copy!L29</f>
        <v>Active</v>
      </c>
      <c r="K29" s="19" t="str">
        <f t="shared" si="3"/>
        <v>Active</v>
      </c>
      <c r="L29" s="19" t="str">
        <f>Raw_Data_Copy!J29</f>
        <v>จริง</v>
      </c>
      <c r="M29" s="19" t="str">
        <f>Raw_Data_Copy!K29</f>
        <v>สื่อสารผ่าน e-smart/ idoc</v>
      </c>
      <c r="N29" s="21">
        <f t="shared" si="4"/>
        <v>1</v>
      </c>
      <c r="O29" s="21">
        <f t="shared" si="5"/>
        <v>0</v>
      </c>
      <c r="P29" s="21">
        <f t="shared" si="6"/>
        <v>0</v>
      </c>
      <c r="Q29" s="21">
        <f t="shared" si="7"/>
        <v>1</v>
      </c>
      <c r="R29" s="21">
        <f t="shared" si="8"/>
        <v>0</v>
      </c>
      <c r="S29" s="21">
        <f t="shared" si="9"/>
        <v>0</v>
      </c>
      <c r="T29" s="21">
        <f t="shared" si="10"/>
        <v>0</v>
      </c>
      <c r="U29" s="21">
        <f t="shared" si="11"/>
        <v>0</v>
      </c>
      <c r="V29" s="21">
        <f t="shared" si="12"/>
        <v>0</v>
      </c>
      <c r="W29" s="21">
        <f t="shared" si="13"/>
        <v>0</v>
      </c>
      <c r="X29" s="19" t="str">
        <f>Raw_Data_Copy!G29</f>
        <v>https://ratchakitcha.soc.go.th/documents/62636.pdf</v>
      </c>
      <c r="Y29" s="19">
        <f>Raw_Data_Copy!D29</f>
        <v>62636</v>
      </c>
      <c r="Z29" s="19" t="str">
        <f>Raw_Data_Copy!A29</f>
        <v>กฎกระทรวง</v>
      </c>
    </row>
    <row r="30" spans="1:26">
      <c r="A30" s="19">
        <v>30</v>
      </c>
      <c r="B30" s="19">
        <f>Raw_Data_Copy!B30</f>
        <v>29</v>
      </c>
      <c r="C30" s="19" t="str">
        <f>Raw_Data_Copy!E30</f>
        <v>ประกาศกระทรวงแรงงาน เรื่อง หลักเกณณ์และวิธีการเรียกหรือรับหลักประกันการทำงานหรือหลักประกันความเสียหายในการทำงานจากลูกจ้าง พ.ศ. 2541</v>
      </c>
      <c r="D30" s="19" t="str">
        <f>Raw_Data_Copy!C30</f>
        <v>กฎหมายประกันสังคม</v>
      </c>
      <c r="E30" s="20">
        <f>Raw_Data_Copy!F30</f>
        <v>39545</v>
      </c>
      <c r="F30" s="19">
        <f t="shared" si="0"/>
        <v>2008</v>
      </c>
      <c r="G30" s="19" t="str">
        <f t="shared" si="1"/>
        <v>2008-04</v>
      </c>
      <c r="H30" s="19" t="str">
        <f>Raw_Data_Copy!I30</f>
        <v>Implemented</v>
      </c>
      <c r="I30" s="19" t="str">
        <f t="shared" si="2"/>
        <v>Implemented</v>
      </c>
      <c r="J30" s="19" t="str">
        <f>Raw_Data_Copy!L30</f>
        <v>Active</v>
      </c>
      <c r="K30" s="19" t="str">
        <f t="shared" si="3"/>
        <v>Active</v>
      </c>
      <c r="L30" s="19" t="str">
        <f>Raw_Data_Copy!J30</f>
        <v>จริง</v>
      </c>
      <c r="M30" s="19" t="str">
        <f>Raw_Data_Copy!K30</f>
        <v>สื่อสารผ่าน e-smart/ idoc</v>
      </c>
      <c r="N30" s="21">
        <f t="shared" si="4"/>
        <v>1</v>
      </c>
      <c r="O30" s="21">
        <f t="shared" si="5"/>
        <v>0</v>
      </c>
      <c r="P30" s="21">
        <f t="shared" si="6"/>
        <v>0</v>
      </c>
      <c r="Q30" s="21">
        <f t="shared" si="7"/>
        <v>1</v>
      </c>
      <c r="R30" s="21">
        <f t="shared" si="8"/>
        <v>0</v>
      </c>
      <c r="S30" s="21">
        <f t="shared" si="9"/>
        <v>0</v>
      </c>
      <c r="T30" s="21">
        <f t="shared" si="10"/>
        <v>0</v>
      </c>
      <c r="U30" s="21">
        <f t="shared" si="11"/>
        <v>0</v>
      </c>
      <c r="V30" s="21">
        <f t="shared" si="12"/>
        <v>0</v>
      </c>
      <c r="W30" s="21">
        <f t="shared" si="13"/>
        <v>0</v>
      </c>
      <c r="X30" s="19" t="str">
        <f>Raw_Data_Copy!G30</f>
        <v>https://legal.labour.go.th/images/law/Protection2541/law10072551_1.pdf</v>
      </c>
      <c r="Y30" s="19">
        <f>Raw_Data_Copy!D30</f>
        <v>0</v>
      </c>
      <c r="Z30" s="19" t="str">
        <f>Raw_Data_Copy!A30</f>
        <v>กฎกระทรวง</v>
      </c>
    </row>
    <row r="31" spans="1:26">
      <c r="A31" s="19">
        <v>31</v>
      </c>
      <c r="B31" s="19">
        <f>Raw_Data_Copy!B31</f>
        <v>30</v>
      </c>
      <c r="C31" s="19" t="str">
        <f>Raw_Data_Copy!E31</f>
        <v>ประกาศกรมสวัสดิการและคุ้มครองแรงงาน เรื่อง การรับสำเนาข้อบังคับเกี่ยวกับการทำงาน</v>
      </c>
      <c r="D31" s="19" t="str">
        <f>Raw_Data_Copy!C31</f>
        <v>กฎหมายคุ้มครองแรงงาน</v>
      </c>
      <c r="E31" s="20" t="str">
        <f>Raw_Data_Copy!F31</f>
        <v>2/18/2016</v>
      </c>
      <c r="F31" s="19" t="e">
        <f t="shared" si="0"/>
        <v>#VALUE!</v>
      </c>
      <c r="G31" s="19" t="str">
        <f t="shared" si="1"/>
        <v>2/18/2016</v>
      </c>
      <c r="H31" s="19" t="str">
        <f>Raw_Data_Copy!I31</f>
        <v>Implemented</v>
      </c>
      <c r="I31" s="19" t="str">
        <f t="shared" si="2"/>
        <v>Implemented</v>
      </c>
      <c r="J31" s="19" t="str">
        <f>Raw_Data_Copy!L31</f>
        <v>Active</v>
      </c>
      <c r="K31" s="19" t="str">
        <f t="shared" si="3"/>
        <v>Active</v>
      </c>
      <c r="L31" s="19" t="str">
        <f>Raw_Data_Copy!J31</f>
        <v>จริง</v>
      </c>
      <c r="M31" s="19" t="str">
        <f>Raw_Data_Copy!K31</f>
        <v>สื่อสารผ่าน e-smart/ idoc</v>
      </c>
      <c r="N31" s="21">
        <f t="shared" si="4"/>
        <v>1</v>
      </c>
      <c r="O31" s="21">
        <f t="shared" si="5"/>
        <v>0</v>
      </c>
      <c r="P31" s="21">
        <f t="shared" si="6"/>
        <v>0</v>
      </c>
      <c r="Q31" s="21">
        <f t="shared" si="7"/>
        <v>1</v>
      </c>
      <c r="R31" s="21">
        <f t="shared" si="8"/>
        <v>0</v>
      </c>
      <c r="S31" s="21">
        <f t="shared" si="9"/>
        <v>0</v>
      </c>
      <c r="T31" s="21">
        <f t="shared" si="10"/>
        <v>0</v>
      </c>
      <c r="U31" s="21">
        <f t="shared" si="11"/>
        <v>0</v>
      </c>
      <c r="V31" s="21">
        <f t="shared" si="12"/>
        <v>0</v>
      </c>
      <c r="W31" s="21">
        <f t="shared" si="13"/>
        <v>0</v>
      </c>
      <c r="X31" s="19" t="str">
        <f>Raw_Data_Copy!G31</f>
        <v>https://legal.labour.go.th/images/law/Protection2541/notifications_0006.pdf</v>
      </c>
      <c r="Y31" s="19">
        <f>Raw_Data_Copy!D31</f>
        <v>0</v>
      </c>
      <c r="Z31" s="19" t="str">
        <f>Raw_Data_Copy!A31</f>
        <v>ประกาศกรมสวัสดิการ</v>
      </c>
    </row>
    <row r="32" spans="1:26">
      <c r="A32" s="19">
        <v>32</v>
      </c>
      <c r="B32" s="19">
        <f>Raw_Data_Copy!B32</f>
        <v>31</v>
      </c>
      <c r="C32" s="19" t="str">
        <f>Raw_Data_Copy!E32</f>
        <v>ประกาศกรมสวัสดิการและคุ้มครองแรงงาน เรื่อง หลักเกณฑ์และวิธีการส่งสำเนาข้อบังคับเกี่ยวกับการทำงานทางสื่ออิเล็กทรอนิกส์</v>
      </c>
      <c r="D32" s="19" t="str">
        <f>Raw_Data_Copy!C32</f>
        <v>กฎหมายคุ้มครองแรงงาน</v>
      </c>
      <c r="E32" s="20" t="str">
        <f>Raw_Data_Copy!F32</f>
        <v>2/18/2016</v>
      </c>
      <c r="F32" s="19" t="e">
        <f t="shared" si="0"/>
        <v>#VALUE!</v>
      </c>
      <c r="G32" s="19" t="str">
        <f t="shared" si="1"/>
        <v>2/18/2016</v>
      </c>
      <c r="H32" s="19" t="str">
        <f>Raw_Data_Copy!I32</f>
        <v>Implemented</v>
      </c>
      <c r="I32" s="19" t="str">
        <f t="shared" si="2"/>
        <v>Implemented</v>
      </c>
      <c r="J32" s="19" t="str">
        <f>Raw_Data_Copy!L32</f>
        <v>Active</v>
      </c>
      <c r="K32" s="19" t="str">
        <f t="shared" si="3"/>
        <v>Active</v>
      </c>
      <c r="L32" s="19" t="str">
        <f>Raw_Data_Copy!J32</f>
        <v>จริง</v>
      </c>
      <c r="M32" s="19" t="str">
        <f>Raw_Data_Copy!K32</f>
        <v>สื่อสารผ่าน e-smart/ idoc</v>
      </c>
      <c r="N32" s="21">
        <f t="shared" si="4"/>
        <v>1</v>
      </c>
      <c r="O32" s="21">
        <f t="shared" si="5"/>
        <v>0</v>
      </c>
      <c r="P32" s="21">
        <f t="shared" si="6"/>
        <v>0</v>
      </c>
      <c r="Q32" s="21">
        <f t="shared" si="7"/>
        <v>1</v>
      </c>
      <c r="R32" s="21">
        <f t="shared" si="8"/>
        <v>0</v>
      </c>
      <c r="S32" s="21">
        <f t="shared" si="9"/>
        <v>0</v>
      </c>
      <c r="T32" s="21">
        <f t="shared" si="10"/>
        <v>0</v>
      </c>
      <c r="U32" s="21">
        <f t="shared" si="11"/>
        <v>0</v>
      </c>
      <c r="V32" s="21">
        <f t="shared" si="12"/>
        <v>0</v>
      </c>
      <c r="W32" s="21">
        <f t="shared" si="13"/>
        <v>0</v>
      </c>
      <c r="X32" s="19" t="str">
        <f>Raw_Data_Copy!G32</f>
        <v>https://legal.labour.go.th/images/law/Protection2541/notifications_0007.pdf</v>
      </c>
      <c r="Y32" s="19">
        <f>Raw_Data_Copy!D32</f>
        <v>0</v>
      </c>
      <c r="Z32" s="19" t="str">
        <f>Raw_Data_Copy!A32</f>
        <v>ประกาศกรมสวัสดิการ</v>
      </c>
    </row>
    <row r="33" spans="1:26">
      <c r="A33" s="19">
        <v>33</v>
      </c>
      <c r="B33" s="19">
        <f>Raw_Data_Copy!B33</f>
        <v>32</v>
      </c>
      <c r="C33" s="19" t="str">
        <f>Raw_Data_Copy!E33</f>
        <v>ประกาศกรมสวัสดิการและคุ้มครองแรงงาน เรื่อง แบบแสดงสภาพการจ้างและสภาพการทำงานของสถานประกอบกิจการประจำปี</v>
      </c>
      <c r="D33" s="19" t="str">
        <f>Raw_Data_Copy!C33</f>
        <v>กฎหมายคุ้มครองแรงงาน</v>
      </c>
      <c r="E33" s="20" t="str">
        <f>Raw_Data_Copy!F33</f>
        <v>11/17/2016</v>
      </c>
      <c r="F33" s="19" t="e">
        <f t="shared" si="0"/>
        <v>#VALUE!</v>
      </c>
      <c r="G33" s="19" t="str">
        <f t="shared" si="1"/>
        <v>11/17/2016</v>
      </c>
      <c r="H33" s="19" t="str">
        <f>Raw_Data_Copy!I33</f>
        <v>Implemented</v>
      </c>
      <c r="I33" s="19" t="str">
        <f t="shared" si="2"/>
        <v>Implemented</v>
      </c>
      <c r="J33" s="19" t="str">
        <f>Raw_Data_Copy!L33</f>
        <v>Active</v>
      </c>
      <c r="K33" s="19" t="str">
        <f t="shared" si="3"/>
        <v>Active</v>
      </c>
      <c r="L33" s="19" t="str">
        <f>Raw_Data_Copy!J33</f>
        <v>จริง</v>
      </c>
      <c r="M33" s="19" t="str">
        <f>Raw_Data_Copy!K33</f>
        <v>สื่อสารผ่าน e-smart/ idoc</v>
      </c>
      <c r="N33" s="21">
        <f t="shared" si="4"/>
        <v>1</v>
      </c>
      <c r="O33" s="21">
        <f t="shared" si="5"/>
        <v>0</v>
      </c>
      <c r="P33" s="21">
        <f t="shared" si="6"/>
        <v>0</v>
      </c>
      <c r="Q33" s="21">
        <f t="shared" si="7"/>
        <v>1</v>
      </c>
      <c r="R33" s="21">
        <f t="shared" si="8"/>
        <v>0</v>
      </c>
      <c r="S33" s="21">
        <f t="shared" si="9"/>
        <v>0</v>
      </c>
      <c r="T33" s="21">
        <f t="shared" si="10"/>
        <v>0</v>
      </c>
      <c r="U33" s="21">
        <f t="shared" si="11"/>
        <v>0</v>
      </c>
      <c r="V33" s="21">
        <f t="shared" si="12"/>
        <v>0</v>
      </c>
      <c r="W33" s="21">
        <f t="shared" si="13"/>
        <v>0</v>
      </c>
      <c r="X33" s="19" t="str">
        <f>Raw_Data_Copy!G33</f>
        <v>https://legal.labour.go.th/images/law/Protection2541/S11-17112564.pdf</v>
      </c>
      <c r="Y33" s="19">
        <f>Raw_Data_Copy!D33</f>
        <v>0</v>
      </c>
      <c r="Z33" s="19" t="str">
        <f>Raw_Data_Copy!A33</f>
        <v>ประกาศกรมสวัสดิการ</v>
      </c>
    </row>
    <row r="34" spans="1:26">
      <c r="A34" s="19">
        <v>34</v>
      </c>
      <c r="B34" s="19">
        <f>Raw_Data_Copy!B34</f>
        <v>33</v>
      </c>
      <c r="C34" s="19" t="str">
        <f>Raw_Data_Copy!E34</f>
        <v>ประกาศกรมสวัสดิการและคุ้มครองแรงงาน เรื่อง หลักเกณฑ์และวิธีการในการเลือกตั้งคณะกรรมการสวัสดิการในสถานประกอบกิจการ</v>
      </c>
      <c r="D34" s="19" t="str">
        <f>Raw_Data_Copy!C34</f>
        <v>กฎหมายคุ้มครองแรงงาน</v>
      </c>
      <c r="E34" s="20" t="str">
        <f>Raw_Data_Copy!F34</f>
        <v>8/19/1998</v>
      </c>
      <c r="F34" s="19" t="e">
        <f t="shared" ref="F34:F65" si="14">IF(E34="","",YEAR(E34))</f>
        <v>#VALUE!</v>
      </c>
      <c r="G34" s="19" t="str">
        <f t="shared" ref="G34:G65" si="15">IF(E34="","",TEXT(E34,"yyyy-mm"))</f>
        <v>8/19/1998</v>
      </c>
      <c r="H34" s="19" t="str">
        <f>Raw_Data_Copy!I34</f>
        <v>Implemented</v>
      </c>
      <c r="I34" s="19" t="str">
        <f t="shared" ref="I34:I65" si="16">IF(H34="","",IF(OR(LOWER(TRIM(H34))="implemented",LOWER(TRIM(H34))="implement"),"Implemented",IF(LOWER(TRIM(H34))="identified","Identified",IF(LOWER(TRIM(H34))="evaluated","Evaluated",IF(LOWER(TRIM(H34))="under review","Under Review",H34)))))</f>
        <v>Implemented</v>
      </c>
      <c r="J34" s="19" t="str">
        <f>Raw_Data_Copy!L34</f>
        <v>Active</v>
      </c>
      <c r="K34" s="19" t="str">
        <f t="shared" ref="K34:K65" si="17">IF(J34="","",IF(LOWER(TRIM(J34))="active","Active",IF(LOWER(TRIM(J34))="inactive","Inactive",J34)))</f>
        <v>Active</v>
      </c>
      <c r="L34" s="19" t="str">
        <f>Raw_Data_Copy!J34</f>
        <v>จริง</v>
      </c>
      <c r="M34" s="19" t="str">
        <f>Raw_Data_Copy!K34</f>
        <v>สื่อสารผ่าน e-smart/ idoc</v>
      </c>
      <c r="N34" s="21">
        <f t="shared" ref="N34:N65" si="18">--(I34="Implemented")</f>
        <v>1</v>
      </c>
      <c r="O34" s="21">
        <f t="shared" ref="O34:O65" si="19">--(I34="Identified")</f>
        <v>0</v>
      </c>
      <c r="P34" s="21">
        <f t="shared" ref="P34:P65" si="20">--(I34="Evaluated")</f>
        <v>0</v>
      </c>
      <c r="Q34" s="21">
        <f t="shared" ref="Q34:Q65" si="21">--(K34="Active")</f>
        <v>1</v>
      </c>
      <c r="R34" s="21">
        <f t="shared" ref="R34:R65" si="22">--(K34="Inactive")</f>
        <v>0</v>
      </c>
      <c r="S34" s="21">
        <f t="shared" ref="S34:S65" si="23">--(K34="")</f>
        <v>0</v>
      </c>
      <c r="T34" s="21">
        <f t="shared" ref="T34:T65" si="24">--(AND(K34="Active",I34&lt;&gt;"Implemented"))</f>
        <v>0</v>
      </c>
      <c r="U34" s="21">
        <f t="shared" ref="U34:U65" si="25">--(E34="")</f>
        <v>0</v>
      </c>
      <c r="V34" s="21">
        <f t="shared" ref="V34:V65" si="26">--(M34="")</f>
        <v>0</v>
      </c>
      <c r="W34" s="21">
        <f t="shared" ref="W34:W65" si="27">--(OR(U34=1,S34=1,V34=1))</f>
        <v>0</v>
      </c>
      <c r="X34" s="19" t="str">
        <f>Raw_Data_Copy!G34</f>
        <v>https://ratchakitcha.soc.go.th/documents/1707439.pdf</v>
      </c>
      <c r="Y34" s="19">
        <f>Raw_Data_Copy!D34</f>
        <v>1707439</v>
      </c>
      <c r="Z34" s="19" t="str">
        <f>Raw_Data_Copy!A34</f>
        <v>ประกาศกรมสวัสดิการ</v>
      </c>
    </row>
    <row r="35" spans="1:26">
      <c r="A35" s="19">
        <v>35</v>
      </c>
      <c r="B35" s="19">
        <f>Raw_Data_Copy!B35</f>
        <v>34</v>
      </c>
      <c r="C35" s="19" t="str">
        <f>Raw_Data_Copy!E35</f>
        <v>ประกาศกรมสวัสดิการและคุ้มครองแรงงาน เรื่อง หลักเกณฑ์และวิธีการเลือกตั้งคณะกรรมการสวัสดิการในสถานประกอบกิจการโดยวิธีการทางอิเล็กทรอนิกส์</v>
      </c>
      <c r="D35" s="19" t="str">
        <f>Raw_Data_Copy!C35</f>
        <v>กฎหมายคุ้มครองแรงงาน</v>
      </c>
      <c r="E35" s="20">
        <f>Raw_Data_Copy!F35</f>
        <v>44238</v>
      </c>
      <c r="F35" s="19">
        <f t="shared" si="14"/>
        <v>2021</v>
      </c>
      <c r="G35" s="19" t="str">
        <f t="shared" si="15"/>
        <v>2021-02</v>
      </c>
      <c r="H35" s="19" t="str">
        <f>Raw_Data_Copy!I35</f>
        <v>Implemented</v>
      </c>
      <c r="I35" s="19" t="str">
        <f t="shared" si="16"/>
        <v>Implemented</v>
      </c>
      <c r="J35" s="19" t="str">
        <f>Raw_Data_Copy!L35</f>
        <v>Active</v>
      </c>
      <c r="K35" s="19" t="str">
        <f t="shared" si="17"/>
        <v>Active</v>
      </c>
      <c r="L35" s="19" t="str">
        <f>Raw_Data_Copy!J35</f>
        <v>จริง</v>
      </c>
      <c r="M35" s="19" t="str">
        <f>Raw_Data_Copy!K35</f>
        <v>สื่อสารผ่าน e-smart/ idoc</v>
      </c>
      <c r="N35" s="21">
        <f t="shared" si="18"/>
        <v>1</v>
      </c>
      <c r="O35" s="21">
        <f t="shared" si="19"/>
        <v>0</v>
      </c>
      <c r="P35" s="21">
        <f t="shared" si="20"/>
        <v>0</v>
      </c>
      <c r="Q35" s="21">
        <f t="shared" si="21"/>
        <v>1</v>
      </c>
      <c r="R35" s="21">
        <f t="shared" si="22"/>
        <v>0</v>
      </c>
      <c r="S35" s="21">
        <f t="shared" si="23"/>
        <v>0</v>
      </c>
      <c r="T35" s="21">
        <f t="shared" si="24"/>
        <v>0</v>
      </c>
      <c r="U35" s="21">
        <f t="shared" si="25"/>
        <v>0</v>
      </c>
      <c r="V35" s="21">
        <f t="shared" si="26"/>
        <v>0</v>
      </c>
      <c r="W35" s="21">
        <f t="shared" si="27"/>
        <v>0</v>
      </c>
      <c r="X35" s="19" t="str">
        <f>Raw_Data_Copy!G35</f>
        <v>https://legal.labour.go.th/images/law/Protection2541/T_0047.pdf</v>
      </c>
      <c r="Y35" s="19">
        <f>Raw_Data_Copy!D35</f>
        <v>0</v>
      </c>
      <c r="Z35" s="19" t="str">
        <f>Raw_Data_Copy!A35</f>
        <v>ประกาศกรมสวัสดิการ</v>
      </c>
    </row>
    <row r="36" spans="1:26">
      <c r="A36" s="19">
        <v>36</v>
      </c>
      <c r="B36" s="19">
        <f>Raw_Data_Copy!B36</f>
        <v>35</v>
      </c>
      <c r="C36" s="19" t="str">
        <f>Raw_Data_Copy!E36</f>
        <v>ประกาศกรมสวัสดิการและคุ้มครองแรงงาน เรื่อง กำหนดแบบแจ้งการจ้าง แบบบันทึกการเปลี่ยนแปลงสภาพการจ้างและแบบแจ้งการสิ้นสุดการจ้างลูกจ้างซึ่งเป็นเด็กอายุต่ำกว่าสิบแปดปี</v>
      </c>
      <c r="D36" s="19" t="str">
        <f>Raw_Data_Copy!C36</f>
        <v>กฎหมายคุ้มครองแรงงาน</v>
      </c>
      <c r="E36" s="20" t="str">
        <f>Raw_Data_Copy!F36</f>
        <v>11/22/2015</v>
      </c>
      <c r="F36" s="19" t="e">
        <f t="shared" si="14"/>
        <v>#VALUE!</v>
      </c>
      <c r="G36" s="19" t="str">
        <f t="shared" si="15"/>
        <v>11/22/2015</v>
      </c>
      <c r="H36" s="19" t="str">
        <f>Raw_Data_Copy!I36</f>
        <v>Implemented</v>
      </c>
      <c r="I36" s="19" t="str">
        <f t="shared" si="16"/>
        <v>Implemented</v>
      </c>
      <c r="J36" s="19" t="str">
        <f>Raw_Data_Copy!L36</f>
        <v>Active</v>
      </c>
      <c r="K36" s="19" t="str">
        <f t="shared" si="17"/>
        <v>Active</v>
      </c>
      <c r="L36" s="19" t="str">
        <f>Raw_Data_Copy!J36</f>
        <v>จริง</v>
      </c>
      <c r="M36" s="19" t="str">
        <f>Raw_Data_Copy!K36</f>
        <v>สื่อสารผ่าน e-smart/ idoc</v>
      </c>
      <c r="N36" s="21">
        <f t="shared" si="18"/>
        <v>1</v>
      </c>
      <c r="O36" s="21">
        <f t="shared" si="19"/>
        <v>0</v>
      </c>
      <c r="P36" s="21">
        <f t="shared" si="20"/>
        <v>0</v>
      </c>
      <c r="Q36" s="21">
        <f t="shared" si="21"/>
        <v>1</v>
      </c>
      <c r="R36" s="21">
        <f t="shared" si="22"/>
        <v>0</v>
      </c>
      <c r="S36" s="21">
        <f t="shared" si="23"/>
        <v>0</v>
      </c>
      <c r="T36" s="21">
        <f t="shared" si="24"/>
        <v>0</v>
      </c>
      <c r="U36" s="21">
        <f t="shared" si="25"/>
        <v>0</v>
      </c>
      <c r="V36" s="21">
        <f t="shared" si="26"/>
        <v>0</v>
      </c>
      <c r="W36" s="21">
        <f t="shared" si="27"/>
        <v>0</v>
      </c>
      <c r="X36" s="19" t="str">
        <f>Raw_Data_Copy!G36</f>
        <v>https://legal.labour.go.th/images/law/Protection2541/notifications_0005.pdf</v>
      </c>
      <c r="Y36" s="19">
        <f>Raw_Data_Copy!D36</f>
        <v>0</v>
      </c>
      <c r="Z36" s="19" t="str">
        <f>Raw_Data_Copy!A36</f>
        <v>ประกาศกรมสวัสดิการ</v>
      </c>
    </row>
    <row r="37" spans="1:26">
      <c r="A37" s="19">
        <v>37</v>
      </c>
      <c r="B37" s="19">
        <f>Raw_Data_Copy!B37</f>
        <v>36</v>
      </c>
      <c r="C37" s="19" t="str">
        <f>Raw_Data_Copy!E37</f>
        <v>ประกาศกรมสวัสดิการและคุ้มครองแรงงาน เรื่อง หลักเกณฑ์ และวิธีการแจ้งการจ้างซึ่งเป็นเด็กอายุต่ำกว่าสิบแปดปี และการแจ้งสิ้นสุดการจ้างลูกจ้างซึ่งเป็นเด็กอายุต่ำกว่าสิบแปดปีทางอิเล็กทรอนิกส์</v>
      </c>
      <c r="D37" s="19" t="str">
        <f>Raw_Data_Copy!C37</f>
        <v>กฎหมายคุ้มครองแรงงาน</v>
      </c>
      <c r="E37" s="20" t="str">
        <f>Raw_Data_Copy!F37</f>
        <v>7/18/2017</v>
      </c>
      <c r="F37" s="19" t="e">
        <f t="shared" si="14"/>
        <v>#VALUE!</v>
      </c>
      <c r="G37" s="19" t="str">
        <f t="shared" si="15"/>
        <v>7/18/2017</v>
      </c>
      <c r="H37" s="19" t="str">
        <f>Raw_Data_Copy!I37</f>
        <v>Implemented</v>
      </c>
      <c r="I37" s="19" t="str">
        <f t="shared" si="16"/>
        <v>Implemented</v>
      </c>
      <c r="J37" s="19" t="str">
        <f>Raw_Data_Copy!L37</f>
        <v>Active</v>
      </c>
      <c r="K37" s="19" t="str">
        <f t="shared" si="17"/>
        <v>Active</v>
      </c>
      <c r="L37" s="19" t="str">
        <f>Raw_Data_Copy!J37</f>
        <v>จริง</v>
      </c>
      <c r="M37" s="19" t="str">
        <f>Raw_Data_Copy!K37</f>
        <v>สื่อสารผ่าน e-smart/ idoc</v>
      </c>
      <c r="N37" s="21">
        <f t="shared" si="18"/>
        <v>1</v>
      </c>
      <c r="O37" s="21">
        <f t="shared" si="19"/>
        <v>0</v>
      </c>
      <c r="P37" s="21">
        <f t="shared" si="20"/>
        <v>0</v>
      </c>
      <c r="Q37" s="21">
        <f t="shared" si="21"/>
        <v>1</v>
      </c>
      <c r="R37" s="21">
        <f t="shared" si="22"/>
        <v>0</v>
      </c>
      <c r="S37" s="21">
        <f t="shared" si="23"/>
        <v>0</v>
      </c>
      <c r="T37" s="21">
        <f t="shared" si="24"/>
        <v>0</v>
      </c>
      <c r="U37" s="21">
        <f t="shared" si="25"/>
        <v>0</v>
      </c>
      <c r="V37" s="21">
        <f t="shared" si="26"/>
        <v>0</v>
      </c>
      <c r="W37" s="21">
        <f t="shared" si="27"/>
        <v>0</v>
      </c>
      <c r="X37" s="19" t="str">
        <f>Raw_Data_Copy!G37</f>
        <v>https://legal.labour.go.th/images/law/Protection2541/notifications_0010.pdf</v>
      </c>
      <c r="Y37" s="19">
        <f>Raw_Data_Copy!D37</f>
        <v>0</v>
      </c>
      <c r="Z37" s="19" t="str">
        <f>Raw_Data_Copy!A37</f>
        <v>ประกาศกรมสวัสดิการ</v>
      </c>
    </row>
    <row r="38" spans="1:26">
      <c r="A38" s="19">
        <v>38</v>
      </c>
      <c r="B38" s="19">
        <f>Raw_Data_Copy!B38</f>
        <v>37</v>
      </c>
      <c r="C38" s="19" t="str">
        <f>Raw_Data_Copy!E38</f>
        <v>ประกาศกรมสวัสดิการและคุ้มครองแรงงาน เรื่อง หลักเกณฑ์ และวิธีการให้นายจ้างแจ้งหยุดกิจการชั่วคราวทางสื่ออิเล็กทรอนิกส์</v>
      </c>
      <c r="D38" s="19" t="str">
        <f>Raw_Data_Copy!C38</f>
        <v>กฎหมายคุ้มครองแรงงาน</v>
      </c>
      <c r="E38" s="20" t="str">
        <f>Raw_Data_Copy!F38</f>
        <v>3/27/2020</v>
      </c>
      <c r="F38" s="19" t="e">
        <f t="shared" si="14"/>
        <v>#VALUE!</v>
      </c>
      <c r="G38" s="19" t="str">
        <f t="shared" si="15"/>
        <v>3/27/2020</v>
      </c>
      <c r="H38" s="19" t="str">
        <f>Raw_Data_Copy!I38</f>
        <v>Implemented</v>
      </c>
      <c r="I38" s="19" t="str">
        <f t="shared" si="16"/>
        <v>Implemented</v>
      </c>
      <c r="J38" s="19" t="str">
        <f>Raw_Data_Copy!L38</f>
        <v>Active</v>
      </c>
      <c r="K38" s="19" t="str">
        <f t="shared" si="17"/>
        <v>Active</v>
      </c>
      <c r="L38" s="19" t="str">
        <f>Raw_Data_Copy!J38</f>
        <v>จริง</v>
      </c>
      <c r="M38" s="19" t="str">
        <f>Raw_Data_Copy!K38</f>
        <v>สื่อสารผ่าน e-smart/ idoc</v>
      </c>
      <c r="N38" s="21">
        <f t="shared" si="18"/>
        <v>1</v>
      </c>
      <c r="O38" s="21">
        <f t="shared" si="19"/>
        <v>0</v>
      </c>
      <c r="P38" s="21">
        <f t="shared" si="20"/>
        <v>0</v>
      </c>
      <c r="Q38" s="21">
        <f t="shared" si="21"/>
        <v>1</v>
      </c>
      <c r="R38" s="21">
        <f t="shared" si="22"/>
        <v>0</v>
      </c>
      <c r="S38" s="21">
        <f t="shared" si="23"/>
        <v>0</v>
      </c>
      <c r="T38" s="21">
        <f t="shared" si="24"/>
        <v>0</v>
      </c>
      <c r="U38" s="21">
        <f t="shared" si="25"/>
        <v>0</v>
      </c>
      <c r="V38" s="21">
        <f t="shared" si="26"/>
        <v>0</v>
      </c>
      <c r="W38" s="21">
        <f t="shared" si="27"/>
        <v>0</v>
      </c>
      <c r="X38" s="19" t="str">
        <f>Raw_Data_Copy!G38</f>
        <v>https://legal.labour.go.th/images/law/other/1/27032563.pdf</v>
      </c>
      <c r="Y38" s="19">
        <f>Raw_Data_Copy!D38</f>
        <v>0</v>
      </c>
      <c r="Z38" s="19" t="str">
        <f>Raw_Data_Copy!A38</f>
        <v>ประกาศกรมสวัสดิการ</v>
      </c>
    </row>
    <row r="39" spans="1:26">
      <c r="A39" s="19">
        <v>39</v>
      </c>
      <c r="B39" s="19">
        <f>Raw_Data_Copy!B39</f>
        <v>38</v>
      </c>
      <c r="C39" s="19" t="str">
        <f>Raw_Data_Copy!E39</f>
        <v>ประกาศคณะกรรมการค่าจ้าง เรื่อง อัตราค่าจ้างขั้นต่ำ (ฉบับที่ 13)</v>
      </c>
      <c r="D39" s="19" t="str">
        <f>Raw_Data_Copy!C39</f>
        <v>กฎหมายคุ้มครองแรงงาน</v>
      </c>
      <c r="E39" s="20" t="str">
        <f>Raw_Data_Copy!F39</f>
        <v>12/27/2024</v>
      </c>
      <c r="F39" s="19" t="e">
        <f t="shared" si="14"/>
        <v>#VALUE!</v>
      </c>
      <c r="G39" s="19" t="str">
        <f t="shared" si="15"/>
        <v>12/27/2024</v>
      </c>
      <c r="H39" s="19" t="str">
        <f>Raw_Data_Copy!I39</f>
        <v>Implemented</v>
      </c>
      <c r="I39" s="19" t="str">
        <f t="shared" si="16"/>
        <v>Implemented</v>
      </c>
      <c r="J39" s="19" t="str">
        <f>Raw_Data_Copy!L39</f>
        <v>Active</v>
      </c>
      <c r="K39" s="19" t="str">
        <f t="shared" si="17"/>
        <v>Active</v>
      </c>
      <c r="L39" s="19" t="str">
        <f>Raw_Data_Copy!J39</f>
        <v>จริง</v>
      </c>
      <c r="M39" s="19" t="str">
        <f>Raw_Data_Copy!K39</f>
        <v>สื่อสารผ่าน e-smart/ idoc / สัญญาว่าจ้างแรงงาน / แบบเปลี่ยนแปลงสถานะภาพ</v>
      </c>
      <c r="N39" s="21">
        <f t="shared" si="18"/>
        <v>1</v>
      </c>
      <c r="O39" s="21">
        <f t="shared" si="19"/>
        <v>0</v>
      </c>
      <c r="P39" s="21">
        <f t="shared" si="20"/>
        <v>0</v>
      </c>
      <c r="Q39" s="21">
        <f t="shared" si="21"/>
        <v>1</v>
      </c>
      <c r="R39" s="21">
        <f t="shared" si="22"/>
        <v>0</v>
      </c>
      <c r="S39" s="21">
        <f t="shared" si="23"/>
        <v>0</v>
      </c>
      <c r="T39" s="21">
        <f t="shared" si="24"/>
        <v>0</v>
      </c>
      <c r="U39" s="21">
        <f t="shared" si="25"/>
        <v>0</v>
      </c>
      <c r="V39" s="21">
        <f t="shared" si="26"/>
        <v>0</v>
      </c>
      <c r="W39" s="21">
        <f t="shared" si="27"/>
        <v>0</v>
      </c>
      <c r="X39" s="19" t="str">
        <f>Raw_Data_Copy!G39</f>
        <v>https://ratchakitcha.soc.go.th/documents/55781.pdf</v>
      </c>
      <c r="Y39" s="19">
        <f>Raw_Data_Copy!D39</f>
        <v>55781</v>
      </c>
      <c r="Z39" s="19" t="str">
        <f>Raw_Data_Copy!A39</f>
        <v>ประกาศคณะกรรมการค่าจ้าง</v>
      </c>
    </row>
    <row r="40" spans="1:26">
      <c r="A40" s="19">
        <v>40</v>
      </c>
      <c r="B40" s="19">
        <f>Raw_Data_Copy!B40</f>
        <v>39</v>
      </c>
      <c r="C40" s="19" t="str">
        <f>Raw_Data_Copy!E40</f>
        <v>ประกาศคณะกรรมการส่งเสริมการพัฒนาฝีมือแรงงาน เรื่อง มาตรฐานฝีมือแรงงานแห่งชาติ สาขาอาชีพช่างไฟฟ้า อิเล็กทรอนิกส์และคอมพิวเตอร์ สาขาช่างไฟฟ้าภายในอาคาร</v>
      </c>
      <c r="D40" s="19" t="str">
        <f>Raw_Data_Copy!C40</f>
        <v>กฎหมายพัฒนาฝีมือแรงงาน</v>
      </c>
      <c r="E40" s="20">
        <f>Raw_Data_Copy!F40</f>
        <v>43680</v>
      </c>
      <c r="F40" s="19">
        <f t="shared" si="14"/>
        <v>2019</v>
      </c>
      <c r="G40" s="19" t="str">
        <f t="shared" si="15"/>
        <v>2019-08</v>
      </c>
      <c r="H40" s="19" t="str">
        <f>Raw_Data_Copy!I40</f>
        <v>Implemented</v>
      </c>
      <c r="I40" s="19" t="str">
        <f t="shared" si="16"/>
        <v>Implemented</v>
      </c>
      <c r="J40" s="19" t="str">
        <f>Raw_Data_Copy!L40</f>
        <v>Active</v>
      </c>
      <c r="K40" s="19" t="str">
        <f t="shared" si="17"/>
        <v>Active</v>
      </c>
      <c r="L40" s="19" t="str">
        <f>Raw_Data_Copy!J40</f>
        <v>จริง</v>
      </c>
      <c r="M40" s="19" t="str">
        <f>Raw_Data_Copy!K40</f>
        <v>สื่อสารผ่าน e-smart/ idoc / ใบประกาศรับรองผ่านการทดสอบมาตรฐานแรงงาน</v>
      </c>
      <c r="N40" s="21">
        <f t="shared" si="18"/>
        <v>1</v>
      </c>
      <c r="O40" s="21">
        <f t="shared" si="19"/>
        <v>0</v>
      </c>
      <c r="P40" s="21">
        <f t="shared" si="20"/>
        <v>0</v>
      </c>
      <c r="Q40" s="21">
        <f t="shared" si="21"/>
        <v>1</v>
      </c>
      <c r="R40" s="21">
        <f t="shared" si="22"/>
        <v>0</v>
      </c>
      <c r="S40" s="21">
        <f t="shared" si="23"/>
        <v>0</v>
      </c>
      <c r="T40" s="21">
        <f t="shared" si="24"/>
        <v>0</v>
      </c>
      <c r="U40" s="21">
        <f t="shared" si="25"/>
        <v>0</v>
      </c>
      <c r="V40" s="21">
        <f t="shared" si="26"/>
        <v>0</v>
      </c>
      <c r="W40" s="21">
        <f t="shared" si="27"/>
        <v>0</v>
      </c>
      <c r="X40" s="19" t="str">
        <f>Raw_Data_Copy!G40</f>
        <v>https://idev.dsd.go.th/~law/qr1/01%20%A1%AE%CB%C1%D2%C2%B7%D5%E8%E0%A1%D5%E8%C2%C7%A2%E9%CD%A7%A1%D1%BA%A1%D2%C3%BE%D1%B2%B9%D2%BD%D5%C1%D7%CD%E1%C3%A7%A7%D2%B9/%BB%C3%D0%A1%D2%C8/%BB%C3%D0%A1%D2%C8%A4%B3%D0%A1%C3%C3%C1%A1%D2%C3%CA%E8%A7%E0%CA%C3%D4%C1%20%C1%D2%B5%C3%B0%D2%B9%CA%D2%A2%D2%AA%E8%D2%A7%E4%BF%BF%E9%D2%C0%D2%C2%E3%B9%CD%D2%A4%D2%C3.pdf</v>
      </c>
      <c r="Y40" s="19">
        <f>Raw_Data_Copy!D40</f>
        <v>0</v>
      </c>
      <c r="Z40" s="19" t="str">
        <f>Raw_Data_Copy!A40</f>
        <v>ประกาศคณะกรรมการส่งเสริมการพัฒนาฝีมือแรงงาน</v>
      </c>
    </row>
    <row r="41" spans="1:26">
      <c r="A41" s="19">
        <v>41</v>
      </c>
      <c r="B41" s="19">
        <f>Raw_Data_Copy!B41</f>
        <v>40</v>
      </c>
      <c r="C41" s="19" t="str">
        <f>Raw_Data_Copy!E41</f>
        <v>ประกาศคณะกรรมการส่งเสริมการพัฒนาฝีมือแรงงาน เรื่อง วิธีการทดสอบมาตรฐานฝีมือแรงงาน และการออกหนังสือรับรองว่าเป็นผู้ผ่านการทดสอบมาตรฐานฝีมือแรงงานแห่งชาติ สาขาอาชีพช่างไฟฟ้า อิเล็กทรอนิกส์และคอมพิเตอร์สาขาไฟฟ้าภายในอาคาร ระดับ 1</v>
      </c>
      <c r="D41" s="19" t="str">
        <f>Raw_Data_Copy!C41</f>
        <v>กฎหมายพัฒนาฝีมือแรงงาน</v>
      </c>
      <c r="E41" s="20">
        <f>Raw_Data_Copy!F41</f>
        <v>43680</v>
      </c>
      <c r="F41" s="19">
        <f t="shared" si="14"/>
        <v>2019</v>
      </c>
      <c r="G41" s="19" t="str">
        <f t="shared" si="15"/>
        <v>2019-08</v>
      </c>
      <c r="H41" s="19" t="str">
        <f>Raw_Data_Copy!I41</f>
        <v>Implemented</v>
      </c>
      <c r="I41" s="19" t="str">
        <f t="shared" si="16"/>
        <v>Implemented</v>
      </c>
      <c r="J41" s="19" t="str">
        <f>Raw_Data_Copy!L41</f>
        <v>Active</v>
      </c>
      <c r="K41" s="19" t="str">
        <f t="shared" si="17"/>
        <v>Active</v>
      </c>
      <c r="L41" s="19" t="str">
        <f>Raw_Data_Copy!J41</f>
        <v>จริง</v>
      </c>
      <c r="M41" s="19" t="str">
        <f>Raw_Data_Copy!K41</f>
        <v>สื่อสารผ่าน e-smart/ idoc / ใบประกาศรับรองผ่านการทดสอบมาตรฐานแรงงาน</v>
      </c>
      <c r="N41" s="21">
        <f t="shared" si="18"/>
        <v>1</v>
      </c>
      <c r="O41" s="21">
        <f t="shared" si="19"/>
        <v>0</v>
      </c>
      <c r="P41" s="21">
        <f t="shared" si="20"/>
        <v>0</v>
      </c>
      <c r="Q41" s="21">
        <f t="shared" si="21"/>
        <v>1</v>
      </c>
      <c r="R41" s="21">
        <f t="shared" si="22"/>
        <v>0</v>
      </c>
      <c r="S41" s="21">
        <f t="shared" si="23"/>
        <v>0</v>
      </c>
      <c r="T41" s="21">
        <f t="shared" si="24"/>
        <v>0</v>
      </c>
      <c r="U41" s="21">
        <f t="shared" si="25"/>
        <v>0</v>
      </c>
      <c r="V41" s="21">
        <f t="shared" si="26"/>
        <v>0</v>
      </c>
      <c r="W41" s="21">
        <f t="shared" si="27"/>
        <v>0</v>
      </c>
      <c r="X41" s="19" t="str">
        <f>Raw_Data_Copy!G41</f>
        <v>https://idev.dsd.go.th/~law/qr1/01%20%A1%AE%CB%C1%D2%C2%B7%D5%E8%E0%A1%D5%E8%C2%C7%A2%E9%CD%A7%A1%D1%BA%A1%D2%C3%BE%D1%B2%B9%D2%BD%D5%C1%D7%CD%E1%C3%A7%A7%D2%B9/%BB%C3%D0%A1%D2%C8/%BB%C3%D0%A1%D2%C8%A4%B3%D0%A1%C3%C3%C1%A1%D2%C3%CA%E8%A7%E0%CA%C3%D4%C1%20%C7%D4%B8%D5%B7%B4%CA%CD%BA%C1%B0-%AA%E8%D2%A7%E4%BF%BF%E9%D2%C0%D2%C2%E3%B9%CD%D2%A4%D2%C3-%C3%D0%B4%D1%BA-1.pdf</v>
      </c>
      <c r="Y41" s="19">
        <f>Raw_Data_Copy!D41</f>
        <v>0</v>
      </c>
      <c r="Z41" s="19" t="str">
        <f>Raw_Data_Copy!A41</f>
        <v>ประกาศคณะกรรมการส่งเสริมการพัฒนาฝีมือแรงงาน</v>
      </c>
    </row>
    <row r="42" spans="1:26">
      <c r="A42" s="19">
        <v>42</v>
      </c>
      <c r="B42" s="19">
        <f>Raw_Data_Copy!B42</f>
        <v>41</v>
      </c>
      <c r="C42" s="19" t="str">
        <f>Raw_Data_Copy!E42</f>
        <v>ประกาศคณะกรรมการส่งเสริมการพัฒนาฝีมือแรงงาน เรื่อง กำหนดเกณฑ์ระดับคะแนนความรู้ความสามารถ และกำหนดอัตราค่าธรรมเนียมการประเมินความรู้ความสามารถของผู้ขอรับรองความรู้ความสามารถ สาขาอาชีพช่างไฟฟ้า อิเล็กทรอนิกส์และคอมพิวเตอร์ สาขาช่างไฟฟ้าภายในอาคาร</v>
      </c>
      <c r="D42" s="19" t="str">
        <f>Raw_Data_Copy!C42</f>
        <v>กฎหมายพัฒนาฝีมือแรงงาน</v>
      </c>
      <c r="E42" s="20" t="str">
        <f>Raw_Data_Copy!F42</f>
        <v>1/14/2021</v>
      </c>
      <c r="F42" s="19" t="e">
        <f t="shared" si="14"/>
        <v>#VALUE!</v>
      </c>
      <c r="G42" s="19" t="str">
        <f t="shared" si="15"/>
        <v>1/14/2021</v>
      </c>
      <c r="H42" s="19" t="str">
        <f>Raw_Data_Copy!I42</f>
        <v>Implemented</v>
      </c>
      <c r="I42" s="19" t="str">
        <f t="shared" si="16"/>
        <v>Implemented</v>
      </c>
      <c r="J42" s="19" t="str">
        <f>Raw_Data_Copy!L42</f>
        <v>Active</v>
      </c>
      <c r="K42" s="19" t="str">
        <f t="shared" si="17"/>
        <v>Active</v>
      </c>
      <c r="L42" s="19" t="str">
        <f>Raw_Data_Copy!J42</f>
        <v>จริง</v>
      </c>
      <c r="M42" s="19" t="str">
        <f>Raw_Data_Copy!K42</f>
        <v>สื่อสารผ่าน e-smart/ idoc / ใบประกาศรับรองผ่านการทดสอบมาตรฐานแรงงาน</v>
      </c>
      <c r="N42" s="21">
        <f t="shared" si="18"/>
        <v>1</v>
      </c>
      <c r="O42" s="21">
        <f t="shared" si="19"/>
        <v>0</v>
      </c>
      <c r="P42" s="21">
        <f t="shared" si="20"/>
        <v>0</v>
      </c>
      <c r="Q42" s="21">
        <f t="shared" si="21"/>
        <v>1</v>
      </c>
      <c r="R42" s="21">
        <f t="shared" si="22"/>
        <v>0</v>
      </c>
      <c r="S42" s="21">
        <f t="shared" si="23"/>
        <v>0</v>
      </c>
      <c r="T42" s="21">
        <f t="shared" si="24"/>
        <v>0</v>
      </c>
      <c r="U42" s="21">
        <f t="shared" si="25"/>
        <v>0</v>
      </c>
      <c r="V42" s="21">
        <f t="shared" si="26"/>
        <v>0</v>
      </c>
      <c r="W42" s="21">
        <f t="shared" si="27"/>
        <v>0</v>
      </c>
      <c r="X42" s="19" t="str">
        <f>Raw_Data_Copy!G42</f>
        <v>https://idev.dsd.go.th/~law/qr1/01%20%A1%AE%CB%C1%D2%C2%B7%D5%E8%E0%A1%D5%E8%C2%C7%A2%E9%CD%A7%A1%D1%BA%A1%D2%C3%BE%D1%B2%B9%D2%BD%D5%C1%D7%CD%E1%C3%A7%A7%D2%B9/%BB%C3%D0%A1%D2%C8/%BB%C3%D0%A1%D2%C8%A4%B3%D0%A1%C3%C3%C1%A1%D2%C3%CA%E8%A7%E0%CA%C3%D4%C1%A1%D2%C3%BE%D1%B2%B9%D2%BD%D5%C1%D7%CD%E1%C3%A7%A7%D2%B9%20%E0%C3%D7%E8%CD%A7%A8%D3%E1%B9%A1%E1%C5%D0%A1%D3%CB%B9%B4%C3%D0%B4%D1%BA%A4%C7%D2%C1%C3%D9%E9%A4%C7%D2%C1%CA%D2%C1%D2%C3%B6%20%CA%D2%A2%D2%AA%E8%D2%A7%E4%BF%BF%E9%D2%C0%D2%C2%E3%B9%CD%D2%A4%D2%C3.PDF</v>
      </c>
      <c r="Y42" s="19">
        <f>Raw_Data_Copy!D42</f>
        <v>0</v>
      </c>
      <c r="Z42" s="19" t="str">
        <f>Raw_Data_Copy!A42</f>
        <v>ประกาศคณะกรรมการส่งเสริมการพัฒนาฝีมือแรงงาน</v>
      </c>
    </row>
    <row r="43" spans="1:26">
      <c r="A43" s="19">
        <v>43</v>
      </c>
      <c r="B43" s="19">
        <f>Raw_Data_Copy!B43</f>
        <v>42</v>
      </c>
      <c r="C43" s="19" t="str">
        <f>Raw_Data_Copy!E43</f>
        <v>พระราชบัญญัติคุ้มครองแรงงาน (ฉบับที่ ๙) พ.ศ. ๒๕๖๘</v>
      </c>
      <c r="D43" s="19" t="str">
        <f>Raw_Data_Copy!C43</f>
        <v>กฎหมายคุ้มครองแรงงาน</v>
      </c>
      <c r="E43" s="20">
        <f>Raw_Data_Copy!F43</f>
        <v>45849</v>
      </c>
      <c r="F43" s="19">
        <f t="shared" si="14"/>
        <v>2025</v>
      </c>
      <c r="G43" s="19" t="str">
        <f t="shared" si="15"/>
        <v>2025-07</v>
      </c>
      <c r="H43" s="19" t="str">
        <f>Raw_Data_Copy!I43</f>
        <v>Implemented</v>
      </c>
      <c r="I43" s="19" t="str">
        <f t="shared" si="16"/>
        <v>Implemented</v>
      </c>
      <c r="J43" s="19" t="str">
        <f>Raw_Data_Copy!L43</f>
        <v>Active</v>
      </c>
      <c r="K43" s="19" t="str">
        <f t="shared" si="17"/>
        <v>Active</v>
      </c>
      <c r="L43" s="19" t="str">
        <f>Raw_Data_Copy!J43</f>
        <v>จริง</v>
      </c>
      <c r="M43" s="19" t="str">
        <f>Raw_Data_Copy!K43</f>
        <v>ข้อบังคับการทำงาน / คู่มือการจัดการมาตรฐานแรงงานไทย / คู่มือปฏิบัติงาน</v>
      </c>
      <c r="N43" s="21">
        <f t="shared" si="18"/>
        <v>1</v>
      </c>
      <c r="O43" s="21">
        <f t="shared" si="19"/>
        <v>0</v>
      </c>
      <c r="P43" s="21">
        <f t="shared" si="20"/>
        <v>0</v>
      </c>
      <c r="Q43" s="21">
        <f t="shared" si="21"/>
        <v>1</v>
      </c>
      <c r="R43" s="21">
        <f t="shared" si="22"/>
        <v>0</v>
      </c>
      <c r="S43" s="21">
        <f t="shared" si="23"/>
        <v>0</v>
      </c>
      <c r="T43" s="21">
        <f t="shared" si="24"/>
        <v>0</v>
      </c>
      <c r="U43" s="21">
        <f t="shared" si="25"/>
        <v>0</v>
      </c>
      <c r="V43" s="21">
        <f t="shared" si="26"/>
        <v>0</v>
      </c>
      <c r="W43" s="21">
        <f t="shared" si="27"/>
        <v>0</v>
      </c>
      <c r="X43" s="19" t="str">
        <f>Raw_Data_Copy!G43</f>
        <v>https://ratchakitcha.soc.go.th/documents/89818.pdf</v>
      </c>
      <c r="Y43" s="19">
        <f>Raw_Data_Copy!D43</f>
        <v>89818</v>
      </c>
      <c r="Z43" s="19" t="str">
        <f>Raw_Data_Copy!A43</f>
        <v>พระราชบัญญัติ</v>
      </c>
    </row>
    <row r="44" spans="1:26">
      <c r="A44" s="19">
        <v>44</v>
      </c>
      <c r="B44" s="19">
        <f>Raw_Data_Copy!B44</f>
        <v>43</v>
      </c>
      <c r="C44" s="19" t="str">
        <f>Raw_Data_Copy!E44</f>
        <v>ประกาศกรมสวัสดิการและคุ้มครองแรงงาน เรื่อง หลักเกณฑ์ และวิธีการยื่นแบบแสดงภาพการจ้างและสภาพการทำงานต่อพนักงานตรวจแรงงานตามมาตรา 115/1 แห่งพระราชบัญญัติคุ้มครองแรงงาน พ.ศ. 2541 แก้ไขเพิ่มเติมโดยพระราชบัญญัติคุ้มครองแรงงาน (ฉบับที่ 9) พ.ศ. 2568</v>
      </c>
      <c r="D44" s="19" t="str">
        <f>Raw_Data_Copy!C44</f>
        <v>กฎหมายคุ้มครองแรงงาน</v>
      </c>
      <c r="E44" s="20" t="str">
        <f>Raw_Data_Copy!F44</f>
        <v>12/26/2025</v>
      </c>
      <c r="F44" s="19" t="e">
        <f t="shared" si="14"/>
        <v>#VALUE!</v>
      </c>
      <c r="G44" s="19" t="str">
        <f t="shared" si="15"/>
        <v>12/26/2025</v>
      </c>
      <c r="H44" s="19" t="str">
        <f>Raw_Data_Copy!I44</f>
        <v>Implemented</v>
      </c>
      <c r="I44" s="19" t="str">
        <f t="shared" si="16"/>
        <v>Implemented</v>
      </c>
      <c r="J44" s="19" t="str">
        <f>Raw_Data_Copy!L44</f>
        <v>Active</v>
      </c>
      <c r="K44" s="19" t="str">
        <f t="shared" si="17"/>
        <v>Active</v>
      </c>
      <c r="L44" s="19" t="str">
        <f>Raw_Data_Copy!J44</f>
        <v>จริง</v>
      </c>
      <c r="M44" s="19" t="str">
        <f>Raw_Data_Copy!K44</f>
        <v>แบบแสดงสภาพการจ้างและสภาพการทำงาน / e-service ( Labour.go.th )</v>
      </c>
      <c r="N44" s="21">
        <f t="shared" si="18"/>
        <v>1</v>
      </c>
      <c r="O44" s="21">
        <f t="shared" si="19"/>
        <v>0</v>
      </c>
      <c r="P44" s="21">
        <f t="shared" si="20"/>
        <v>0</v>
      </c>
      <c r="Q44" s="21">
        <f t="shared" si="21"/>
        <v>1</v>
      </c>
      <c r="R44" s="21">
        <f t="shared" si="22"/>
        <v>0</v>
      </c>
      <c r="S44" s="21">
        <f t="shared" si="23"/>
        <v>0</v>
      </c>
      <c r="T44" s="21">
        <f t="shared" si="24"/>
        <v>0</v>
      </c>
      <c r="U44" s="21">
        <f t="shared" si="25"/>
        <v>0</v>
      </c>
      <c r="V44" s="21">
        <f t="shared" si="26"/>
        <v>0</v>
      </c>
      <c r="W44" s="21">
        <f t="shared" si="27"/>
        <v>0</v>
      </c>
      <c r="X44" s="19" t="str">
        <f>Raw_Data_Copy!G44</f>
        <v>https://ratchakitcha.soc.go.th/documents/99330.pdf</v>
      </c>
      <c r="Y44" s="19">
        <f>Raw_Data_Copy!D44</f>
        <v>99330</v>
      </c>
      <c r="Z44" s="19" t="str">
        <f>Raw_Data_Copy!A44</f>
        <v>ประกาศกรมสวัสดิการและคุ้มครองแรงงาน</v>
      </c>
    </row>
    <row r="45" spans="1:26">
      <c r="A45" s="19">
        <v>45</v>
      </c>
      <c r="B45" s="19">
        <f>Raw_Data_Copy!B45</f>
        <v>44</v>
      </c>
      <c r="C45" s="19" t="str">
        <f>Raw_Data_Copy!E45</f>
        <v>ประกาศกรมสวัสดิการและคุ้มครองแรงงาน เรื่อง แบบแสดงสภาพการจ้างและสภาพการทำงานของสถานประกอบกิจการประจำปี</v>
      </c>
      <c r="D45" s="19" t="str">
        <f>Raw_Data_Copy!C45</f>
        <v>กฎหมายคุ้มครองแรงงาน</v>
      </c>
      <c r="E45" s="20" t="str">
        <f>Raw_Data_Copy!F45</f>
        <v>12/24/2025</v>
      </c>
      <c r="F45" s="19" t="e">
        <f t="shared" si="14"/>
        <v>#VALUE!</v>
      </c>
      <c r="G45" s="19" t="str">
        <f t="shared" si="15"/>
        <v>12/24/2025</v>
      </c>
      <c r="H45" s="19" t="str">
        <f>Raw_Data_Copy!I45</f>
        <v>Implemented</v>
      </c>
      <c r="I45" s="19" t="str">
        <f t="shared" si="16"/>
        <v>Implemented</v>
      </c>
      <c r="J45" s="19" t="str">
        <f>Raw_Data_Copy!L45</f>
        <v>Active</v>
      </c>
      <c r="K45" s="19" t="str">
        <f t="shared" si="17"/>
        <v>Active</v>
      </c>
      <c r="L45" s="19" t="str">
        <f>Raw_Data_Copy!J45</f>
        <v>จริง</v>
      </c>
      <c r="M45" s="19" t="str">
        <f>Raw_Data_Copy!K45</f>
        <v>แบบแสดงสภาพการจ้างและสภาพการทำงานของสถานประกอบกิจการประจำปี / e-service ( labour.go.th )</v>
      </c>
      <c r="N45" s="21">
        <f t="shared" si="18"/>
        <v>1</v>
      </c>
      <c r="O45" s="21">
        <f t="shared" si="19"/>
        <v>0</v>
      </c>
      <c r="P45" s="21">
        <f t="shared" si="20"/>
        <v>0</v>
      </c>
      <c r="Q45" s="21">
        <f t="shared" si="21"/>
        <v>1</v>
      </c>
      <c r="R45" s="21">
        <f t="shared" si="22"/>
        <v>0</v>
      </c>
      <c r="S45" s="21">
        <f t="shared" si="23"/>
        <v>0</v>
      </c>
      <c r="T45" s="21">
        <f t="shared" si="24"/>
        <v>0</v>
      </c>
      <c r="U45" s="21">
        <f t="shared" si="25"/>
        <v>0</v>
      </c>
      <c r="V45" s="21">
        <f t="shared" si="26"/>
        <v>0</v>
      </c>
      <c r="W45" s="21">
        <f t="shared" si="27"/>
        <v>0</v>
      </c>
      <c r="X45" s="19" t="str">
        <f>Raw_Data_Copy!G45</f>
        <v>https://ratchakitcha.soc.go.th/documents/99336.pdf</v>
      </c>
      <c r="Y45" s="19">
        <f>Raw_Data_Copy!D45</f>
        <v>99336</v>
      </c>
      <c r="Z45" s="19" t="str">
        <f>Raw_Data_Copy!A45</f>
        <v>ประกาศกรมสวัสดิการและคุ้มครองแรงงาน</v>
      </c>
    </row>
    <row r="46" spans="1:26">
      <c r="A46" s="19">
        <v>46</v>
      </c>
      <c r="B46" s="19">
        <f>Raw_Data_Copy!B46</f>
        <v>45</v>
      </c>
      <c r="C46" s="19" t="str">
        <f>Raw_Data_Copy!E46</f>
        <v>กฎกระทรวงกำหนดค่าจ้างขั้นต่ำและขั้นสูงที่ใช้เป็นฐานในการคำนวณเงินสมทบของผู้ประกันตนตามมาตรา 33 พ.ศ. 2568</v>
      </c>
      <c r="D46" s="19" t="str">
        <f>Raw_Data_Copy!C46</f>
        <v>กฎหมายประกันสังคม</v>
      </c>
      <c r="E46" s="20">
        <f>Raw_Data_Copy!F46</f>
        <v>46003</v>
      </c>
      <c r="F46" s="19">
        <f t="shared" si="14"/>
        <v>2025</v>
      </c>
      <c r="G46" s="19" t="str">
        <f t="shared" si="15"/>
        <v>2025-12</v>
      </c>
      <c r="H46" s="19" t="str">
        <f>Raw_Data_Copy!I46</f>
        <v>Implemented</v>
      </c>
      <c r="I46" s="19" t="str">
        <f t="shared" si="16"/>
        <v>Implemented</v>
      </c>
      <c r="J46" s="19" t="str">
        <f>Raw_Data_Copy!L46</f>
        <v>Active</v>
      </c>
      <c r="K46" s="19" t="str">
        <f t="shared" si="17"/>
        <v>Active</v>
      </c>
      <c r="L46" s="19" t="str">
        <f>Raw_Data_Copy!J46</f>
        <v>จริง</v>
      </c>
      <c r="M46" s="19" t="str">
        <f>Raw_Data_Copy!K46</f>
        <v>แบบทะเบียนรายได้ / หลักฐานการจ่ายค่าจ้าง</v>
      </c>
      <c r="N46" s="21">
        <f t="shared" si="18"/>
        <v>1</v>
      </c>
      <c r="O46" s="21">
        <f t="shared" si="19"/>
        <v>0</v>
      </c>
      <c r="P46" s="21">
        <f t="shared" si="20"/>
        <v>0</v>
      </c>
      <c r="Q46" s="21">
        <f t="shared" si="21"/>
        <v>1</v>
      </c>
      <c r="R46" s="21">
        <f t="shared" si="22"/>
        <v>0</v>
      </c>
      <c r="S46" s="21">
        <f t="shared" si="23"/>
        <v>0</v>
      </c>
      <c r="T46" s="21">
        <f t="shared" si="24"/>
        <v>0</v>
      </c>
      <c r="U46" s="21">
        <f t="shared" si="25"/>
        <v>0</v>
      </c>
      <c r="V46" s="21">
        <f t="shared" si="26"/>
        <v>0</v>
      </c>
      <c r="W46" s="21">
        <f t="shared" si="27"/>
        <v>0</v>
      </c>
      <c r="X46" s="19" t="str">
        <f>Raw_Data_Copy!G46</f>
        <v>https://ratchakitcha.soc.go.th/documents/98728.pdf</v>
      </c>
      <c r="Y46" s="19">
        <f>Raw_Data_Copy!D46</f>
        <v>98728</v>
      </c>
      <c r="Z46" s="19" t="str">
        <f>Raw_Data_Copy!A46</f>
        <v>กฎกระทรวง</v>
      </c>
    </row>
    <row r="47" spans="1:26">
      <c r="A47" s="19">
        <v>47</v>
      </c>
      <c r="B47" s="19">
        <f>Raw_Data_Copy!B47</f>
        <v>46</v>
      </c>
      <c r="C47" s="19" t="str">
        <f>Raw_Data_Copy!E47</f>
        <v>ประกาศกระทรวงแรงงาน เรื่อง ขยายกำหนดเวลาการยื่นแบบรายการแสดงการส่งเงินสมทบและการนำส่งเงินสมทบของนายจ้างและผู้ประกันตนในท้องที่ที่ประสบภัยพิบัติ พ.ศ. 2568</v>
      </c>
      <c r="D47" s="19" t="str">
        <f>Raw_Data_Copy!C47</f>
        <v>กฎหมายประกันสังคม</v>
      </c>
      <c r="E47" s="20" t="str">
        <f>Raw_Data_Copy!F47</f>
        <v>12/15/2025</v>
      </c>
      <c r="F47" s="19" t="e">
        <f t="shared" si="14"/>
        <v>#VALUE!</v>
      </c>
      <c r="G47" s="19" t="str">
        <f t="shared" si="15"/>
        <v>12/15/2025</v>
      </c>
      <c r="H47" s="19" t="str">
        <f>Raw_Data_Copy!I47</f>
        <v>Under Review</v>
      </c>
      <c r="I47" s="19" t="str">
        <f t="shared" si="16"/>
        <v>Under Review</v>
      </c>
      <c r="J47" s="19" t="str">
        <f>Raw_Data_Copy!L47</f>
        <v>Inactive</v>
      </c>
      <c r="K47" s="19" t="str">
        <f t="shared" si="17"/>
        <v>Inactive</v>
      </c>
      <c r="L47" s="19" t="str">
        <f>Raw_Data_Copy!J47</f>
        <v>จริง</v>
      </c>
      <c r="M47" s="19" t="str">
        <f>Raw_Data_Copy!K47</f>
        <v>สื่อสารกับบุคลากรที่เกี่ยวข้อง / ทะเบียนรายได้ / หลักฐานการจ่ายค่าจ้าง</v>
      </c>
      <c r="N47" s="21">
        <f t="shared" si="18"/>
        <v>0</v>
      </c>
      <c r="O47" s="21">
        <f t="shared" si="19"/>
        <v>0</v>
      </c>
      <c r="P47" s="21">
        <f t="shared" si="20"/>
        <v>0</v>
      </c>
      <c r="Q47" s="21">
        <f t="shared" si="21"/>
        <v>0</v>
      </c>
      <c r="R47" s="21">
        <f t="shared" si="22"/>
        <v>1</v>
      </c>
      <c r="S47" s="21">
        <f t="shared" si="23"/>
        <v>0</v>
      </c>
      <c r="T47" s="21">
        <f t="shared" si="24"/>
        <v>0</v>
      </c>
      <c r="U47" s="21">
        <f t="shared" si="25"/>
        <v>0</v>
      </c>
      <c r="V47" s="21">
        <f t="shared" si="26"/>
        <v>0</v>
      </c>
      <c r="W47" s="21">
        <f t="shared" si="27"/>
        <v>0</v>
      </c>
      <c r="X47" s="19" t="str">
        <f>Raw_Data_Copy!G47</f>
        <v>https://ratchakitcha.soc.go.th/documents/98741.pdf</v>
      </c>
      <c r="Y47" s="19">
        <f>Raw_Data_Copy!D47</f>
        <v>98741</v>
      </c>
      <c r="Z47" s="19" t="str">
        <f>Raw_Data_Copy!A47</f>
        <v>ประกาศกระทรวง</v>
      </c>
    </row>
    <row r="48" spans="1:26">
      <c r="A48" s="19">
        <v>48</v>
      </c>
      <c r="B48" s="19">
        <f>Raw_Data_Copy!B48</f>
        <v>47</v>
      </c>
      <c r="C48" s="19" t="str">
        <f>Raw_Data_Copy!E48</f>
        <v>ระเบียบสำนักงานประกันสังคม ว่าด้วยการขอรับประโยชน์ทดแทน  พ.ศ. 2568</v>
      </c>
      <c r="D48" s="19" t="str">
        <f>Raw_Data_Copy!C48</f>
        <v>กฎหมายประกันสังคม</v>
      </c>
      <c r="E48" s="20" t="str">
        <f>Raw_Data_Copy!F48</f>
        <v>12/19/2025</v>
      </c>
      <c r="F48" s="19" t="e">
        <f t="shared" si="14"/>
        <v>#VALUE!</v>
      </c>
      <c r="G48" s="19" t="str">
        <f t="shared" si="15"/>
        <v>12/19/2025</v>
      </c>
      <c r="H48" s="19" t="str">
        <f>Raw_Data_Copy!I48</f>
        <v>Implemented</v>
      </c>
      <c r="I48" s="19" t="str">
        <f t="shared" si="16"/>
        <v>Implemented</v>
      </c>
      <c r="J48" s="19" t="str">
        <f>Raw_Data_Copy!L48</f>
        <v>Active</v>
      </c>
      <c r="K48" s="19" t="str">
        <f t="shared" si="17"/>
        <v>Active</v>
      </c>
      <c r="L48" s="19" t="str">
        <f>Raw_Data_Copy!J48</f>
        <v>จริง</v>
      </c>
      <c r="M48" s="19" t="str">
        <f>Raw_Data_Copy!K48</f>
        <v>สื่อสารบุคลากรเกี่ยวข้อง / ทะเบียนรายได้ / หลักฐานการจ่ายเงินค่าจ้าง</v>
      </c>
      <c r="N48" s="21">
        <f t="shared" si="18"/>
        <v>1</v>
      </c>
      <c r="O48" s="21">
        <f t="shared" si="19"/>
        <v>0</v>
      </c>
      <c r="P48" s="21">
        <f t="shared" si="20"/>
        <v>0</v>
      </c>
      <c r="Q48" s="21">
        <f t="shared" si="21"/>
        <v>1</v>
      </c>
      <c r="R48" s="21">
        <f t="shared" si="22"/>
        <v>0</v>
      </c>
      <c r="S48" s="21">
        <f t="shared" si="23"/>
        <v>0</v>
      </c>
      <c r="T48" s="21">
        <f t="shared" si="24"/>
        <v>0</v>
      </c>
      <c r="U48" s="21">
        <f t="shared" si="25"/>
        <v>0</v>
      </c>
      <c r="V48" s="21">
        <f t="shared" si="26"/>
        <v>0</v>
      </c>
      <c r="W48" s="21">
        <f t="shared" si="27"/>
        <v>0</v>
      </c>
      <c r="X48" s="19" t="str">
        <f>Raw_Data_Copy!G48</f>
        <v>https://ratchakitcha.soc.go.th/documents/97803.pdf</v>
      </c>
      <c r="Y48" s="19">
        <f>Raw_Data_Copy!D48</f>
        <v>97803</v>
      </c>
      <c r="Z48" s="19" t="str">
        <f>Raw_Data_Copy!A48</f>
        <v>ระเบียบสำนักงานประกันสังคม</v>
      </c>
    </row>
    <row r="49" spans="1:26">
      <c r="A49" s="19">
        <v>49</v>
      </c>
      <c r="B49" s="19">
        <f>Raw_Data_Copy!B49</f>
        <v>48</v>
      </c>
      <c r="C49" s="19" t="str">
        <f>Raw_Data_Copy!E49</f>
        <v>ประกาศกระทรวงแรงงาน เรื่อง การอนุญาตให้คนต่างด้าวทำงานในราชอาณาจักรเป็นกรณีพิเศษ สำหรับคนต่างด้าวสัญชาติลาว เมียนมา และเวียดนาม ตามมติคณะรัฐมนตรีเมื่อวันที่ 11 พฤศจิกายน 2568</v>
      </c>
      <c r="D49" s="19" t="str">
        <f>Raw_Data_Copy!C49</f>
        <v>กฎหมายจัดหางาน</v>
      </c>
      <c r="E49" s="20">
        <f>Raw_Data_Copy!F49</f>
        <v>45973</v>
      </c>
      <c r="F49" s="19">
        <f t="shared" si="14"/>
        <v>2025</v>
      </c>
      <c r="G49" s="19" t="str">
        <f t="shared" si="15"/>
        <v>2025-11</v>
      </c>
      <c r="H49" s="19" t="str">
        <f>Raw_Data_Copy!I49</f>
        <v>Implemented</v>
      </c>
      <c r="I49" s="19" t="str">
        <f t="shared" si="16"/>
        <v>Implemented</v>
      </c>
      <c r="J49" s="19" t="str">
        <f>Raw_Data_Copy!L49</f>
        <v>Active</v>
      </c>
      <c r="K49" s="19" t="str">
        <f t="shared" si="17"/>
        <v>Active</v>
      </c>
      <c r="L49" s="19" t="str">
        <f>Raw_Data_Copy!J49</f>
        <v>จริง</v>
      </c>
      <c r="M49" s="19" t="str">
        <f>Raw_Data_Copy!K49</f>
        <v>ระเบียบการปฏิบัติงาน / วิธีการปฏิบัติงานว่าด้วยการจ้างแรงงานต่างด้าว / บันทึก</v>
      </c>
      <c r="N49" s="21">
        <f t="shared" si="18"/>
        <v>1</v>
      </c>
      <c r="O49" s="21">
        <f t="shared" si="19"/>
        <v>0</v>
      </c>
      <c r="P49" s="21">
        <f t="shared" si="20"/>
        <v>0</v>
      </c>
      <c r="Q49" s="21">
        <f t="shared" si="21"/>
        <v>1</v>
      </c>
      <c r="R49" s="21">
        <f t="shared" si="22"/>
        <v>0</v>
      </c>
      <c r="S49" s="21">
        <f t="shared" si="23"/>
        <v>0</v>
      </c>
      <c r="T49" s="21">
        <f t="shared" si="24"/>
        <v>0</v>
      </c>
      <c r="U49" s="21">
        <f t="shared" si="25"/>
        <v>0</v>
      </c>
      <c r="V49" s="21">
        <f t="shared" si="26"/>
        <v>0</v>
      </c>
      <c r="W49" s="21">
        <f t="shared" si="27"/>
        <v>0</v>
      </c>
      <c r="X49" s="19" t="str">
        <f>Raw_Data_Copy!G49</f>
        <v>https://ratchakitcha.soc.go.th/documents/98018.pdf</v>
      </c>
      <c r="Y49" s="19">
        <f>Raw_Data_Copy!D49</f>
        <v>98018</v>
      </c>
      <c r="Z49" s="19" t="str">
        <f>Raw_Data_Copy!A49</f>
        <v>ประกาศกระทรวง</v>
      </c>
    </row>
    <row r="50" spans="1:26">
      <c r="A50" s="19">
        <v>50</v>
      </c>
      <c r="B50" s="19">
        <f>Raw_Data_Copy!B50</f>
        <v>49</v>
      </c>
      <c r="C50" s="19" t="str">
        <f>Raw_Data_Copy!E50</f>
        <v>ประกาศกระทรวงมหาดไทย เรื่อง การอนุญาตให้คนต่างด้าวอยู่ในราชอาณาจักรเป็นกรณีพิเศษ สำหรับคนต่างด้าวสัญชาติลาว เมียนมา และเวียดนาม ตามมติคณะรัฐมนตรีเมื่อวันที่ 11 พฤศจิกายน 2568</v>
      </c>
      <c r="D50" s="19" t="str">
        <f>Raw_Data_Copy!C50</f>
        <v>กฎหมายจัดหางาน</v>
      </c>
      <c r="E50" s="20">
        <f>Raw_Data_Copy!F50</f>
        <v>45973</v>
      </c>
      <c r="F50" s="19">
        <f t="shared" si="14"/>
        <v>2025</v>
      </c>
      <c r="G50" s="19" t="str">
        <f t="shared" si="15"/>
        <v>2025-11</v>
      </c>
      <c r="H50" s="19" t="str">
        <f>Raw_Data_Copy!I50</f>
        <v>Implemented</v>
      </c>
      <c r="I50" s="19" t="str">
        <f t="shared" si="16"/>
        <v>Implemented</v>
      </c>
      <c r="J50" s="19" t="str">
        <f>Raw_Data_Copy!L50</f>
        <v>Active</v>
      </c>
      <c r="K50" s="19" t="str">
        <f t="shared" si="17"/>
        <v>Active</v>
      </c>
      <c r="L50" s="19" t="str">
        <f>Raw_Data_Copy!J50</f>
        <v>จริง</v>
      </c>
      <c r="M50" s="19" t="str">
        <f>Raw_Data_Copy!K50</f>
        <v>ระเบียบการปฏิบัติงาน / วิธีการปฏิบัติงานว่าด้วยการจ้างแรงงานต่างด้าว / บันทึก</v>
      </c>
      <c r="N50" s="21">
        <f t="shared" si="18"/>
        <v>1</v>
      </c>
      <c r="O50" s="21">
        <f t="shared" si="19"/>
        <v>0</v>
      </c>
      <c r="P50" s="21">
        <f t="shared" si="20"/>
        <v>0</v>
      </c>
      <c r="Q50" s="21">
        <f t="shared" si="21"/>
        <v>1</v>
      </c>
      <c r="R50" s="21">
        <f t="shared" si="22"/>
        <v>0</v>
      </c>
      <c r="S50" s="21">
        <f t="shared" si="23"/>
        <v>0</v>
      </c>
      <c r="T50" s="21">
        <f t="shared" si="24"/>
        <v>0</v>
      </c>
      <c r="U50" s="21">
        <f t="shared" si="25"/>
        <v>0</v>
      </c>
      <c r="V50" s="21">
        <f t="shared" si="26"/>
        <v>0</v>
      </c>
      <c r="W50" s="21">
        <f t="shared" si="27"/>
        <v>0</v>
      </c>
      <c r="X50" s="19" t="str">
        <f>Raw_Data_Copy!G50</f>
        <v>https://ratchakitcha.soc.go.th/documents/98684.pdf</v>
      </c>
      <c r="Y50" s="19">
        <f>Raw_Data_Copy!D50</f>
        <v>98684</v>
      </c>
      <c r="Z50" s="19" t="str">
        <f>Raw_Data_Copy!A50</f>
        <v>ประกาศกระทรวง</v>
      </c>
    </row>
    <row r="51" spans="1:26">
      <c r="A51" s="19">
        <v>51</v>
      </c>
      <c r="B51" s="19">
        <f>Raw_Data_Copy!B51</f>
        <v>50</v>
      </c>
      <c r="C51" s="19" t="str">
        <f>Raw_Data_Copy!E51</f>
        <v xml:space="preserve">ประกาศกระทรวงแรงงาน เรื่อง การอนุญาตให้คนต่างด้าวทำงานในราชอาณาจักรเป็นการเฉพาะสำหรับคนต่างด้าวสัญชาติกัมพูชา ลาว เมียนมา และเวียดนาม ซึ่งได้รับอนุญาตให้ทำงานถึงวันที่ 13 กุมภาพันธ์ 2568 ตามมติคณะรัฐมนตรีเมื่อวันที่ 24 กันยายน 2565 (ฉบับที่ 4)
</v>
      </c>
      <c r="D51" s="19" t="str">
        <f>Raw_Data_Copy!C51</f>
        <v>กฎหมายจัดหางาน</v>
      </c>
      <c r="E51" s="20">
        <f>Raw_Data_Copy!F51</f>
        <v>46003</v>
      </c>
      <c r="F51" s="19">
        <f t="shared" si="14"/>
        <v>2025</v>
      </c>
      <c r="G51" s="19" t="str">
        <f t="shared" si="15"/>
        <v>2025-12</v>
      </c>
      <c r="H51" s="19" t="str">
        <f>Raw_Data_Copy!I51</f>
        <v>Implemented</v>
      </c>
      <c r="I51" s="19" t="str">
        <f t="shared" si="16"/>
        <v>Implemented</v>
      </c>
      <c r="J51" s="19" t="str">
        <f>Raw_Data_Copy!L51</f>
        <v>Active</v>
      </c>
      <c r="K51" s="19" t="str">
        <f t="shared" si="17"/>
        <v>Active</v>
      </c>
      <c r="L51" s="19" t="str">
        <f>Raw_Data_Copy!J51</f>
        <v>จริง</v>
      </c>
      <c r="M51" s="19" t="str">
        <f>Raw_Data_Copy!K51</f>
        <v>ระเบียบการปฏิบัติงาน / วิธีการปฏิบัติงานว่าด้วยการจ้างแรงงานต่างด้าว / บันทึก</v>
      </c>
      <c r="N51" s="21">
        <f t="shared" si="18"/>
        <v>1</v>
      </c>
      <c r="O51" s="21">
        <f t="shared" si="19"/>
        <v>0</v>
      </c>
      <c r="P51" s="21">
        <f t="shared" si="20"/>
        <v>0</v>
      </c>
      <c r="Q51" s="21">
        <f t="shared" si="21"/>
        <v>1</v>
      </c>
      <c r="R51" s="21">
        <f t="shared" si="22"/>
        <v>0</v>
      </c>
      <c r="S51" s="21">
        <f t="shared" si="23"/>
        <v>0</v>
      </c>
      <c r="T51" s="21">
        <f t="shared" si="24"/>
        <v>0</v>
      </c>
      <c r="U51" s="21">
        <f t="shared" si="25"/>
        <v>0</v>
      </c>
      <c r="V51" s="21">
        <f t="shared" si="26"/>
        <v>0</v>
      </c>
      <c r="W51" s="21">
        <f t="shared" si="27"/>
        <v>0</v>
      </c>
      <c r="X51" s="19" t="str">
        <f>Raw_Data_Copy!G51</f>
        <v>https://ratchakitcha.soc.go.th/documents/98685.pdf</v>
      </c>
      <c r="Y51" s="19">
        <f>Raw_Data_Copy!D51</f>
        <v>98685</v>
      </c>
      <c r="Z51" s="19" t="str">
        <f>Raw_Data_Copy!A51</f>
        <v>ประกาศกระทรวง</v>
      </c>
    </row>
    <row r="52" spans="1:26">
      <c r="A52" s="19">
        <v>52</v>
      </c>
      <c r="B52" s="19">
        <f>Raw_Data_Copy!B52</f>
        <v>51</v>
      </c>
      <c r="C52" s="19" t="str">
        <f>Raw_Data_Copy!E52</f>
        <v>ประกาศกระทรวงแรงงาน เรื่อง  การอนุญาตให้คนต่างด้าวทำงานในราชอาณาจักรเป็นกรณีพิเศษ สำหรับคนต่างด้าวสัญชาติเมียนมาตามมติคณะรัฐมนตรี เมื่อวันที่ 8 กรกฎาคม 2568 (ฉบับที่ 2)</v>
      </c>
      <c r="D52" s="19" t="str">
        <f>Raw_Data_Copy!C52</f>
        <v>กฎหมายจัดหางาน</v>
      </c>
      <c r="E52" s="20">
        <f>Raw_Data_Copy!F52</f>
        <v>46003</v>
      </c>
      <c r="F52" s="19">
        <f t="shared" si="14"/>
        <v>2025</v>
      </c>
      <c r="G52" s="19" t="str">
        <f t="shared" si="15"/>
        <v>2025-12</v>
      </c>
      <c r="H52" s="19" t="str">
        <f>Raw_Data_Copy!I52</f>
        <v>Implemented</v>
      </c>
      <c r="I52" s="19" t="str">
        <f t="shared" si="16"/>
        <v>Implemented</v>
      </c>
      <c r="J52" s="19" t="str">
        <f>Raw_Data_Copy!L52</f>
        <v>Active</v>
      </c>
      <c r="K52" s="19" t="str">
        <f t="shared" si="17"/>
        <v>Active</v>
      </c>
      <c r="L52" s="19" t="str">
        <f>Raw_Data_Copy!J52</f>
        <v>จริง</v>
      </c>
      <c r="M52" s="19" t="str">
        <f>Raw_Data_Copy!K52</f>
        <v>ระเบียบการปฏิบัติงาน / วิธีการปฏิบัติงานว่าด้วยการจ้างแรงงานต่างด้าว / บันทึก</v>
      </c>
      <c r="N52" s="21">
        <f t="shared" si="18"/>
        <v>1</v>
      </c>
      <c r="O52" s="21">
        <f t="shared" si="19"/>
        <v>0</v>
      </c>
      <c r="P52" s="21">
        <f t="shared" si="20"/>
        <v>0</v>
      </c>
      <c r="Q52" s="21">
        <f t="shared" si="21"/>
        <v>1</v>
      </c>
      <c r="R52" s="21">
        <f t="shared" si="22"/>
        <v>0</v>
      </c>
      <c r="S52" s="21">
        <f t="shared" si="23"/>
        <v>0</v>
      </c>
      <c r="T52" s="21">
        <f t="shared" si="24"/>
        <v>0</v>
      </c>
      <c r="U52" s="21">
        <f t="shared" si="25"/>
        <v>0</v>
      </c>
      <c r="V52" s="21">
        <f t="shared" si="26"/>
        <v>0</v>
      </c>
      <c r="W52" s="21">
        <f t="shared" si="27"/>
        <v>0</v>
      </c>
      <c r="X52" s="19" t="str">
        <f>Raw_Data_Copy!G52</f>
        <v>https://ratchakitcha.soc.go.th/documents/98685.pdf</v>
      </c>
      <c r="Y52" s="19">
        <f>Raw_Data_Copy!D52</f>
        <v>98685</v>
      </c>
      <c r="Z52" s="19" t="str">
        <f>Raw_Data_Copy!A52</f>
        <v>ประกาศกระทรวง</v>
      </c>
    </row>
    <row r="53" spans="1:26">
      <c r="A53" s="19">
        <v>53</v>
      </c>
      <c r="B53" s="19">
        <f>Raw_Data_Copy!B53</f>
        <v>52</v>
      </c>
      <c r="C53" s="19" t="str">
        <f>Raw_Data_Copy!E53</f>
        <v>ประกาศคณะกรรมการส่งเสริมการพัฒนาฝีมือแรงงาน เรื่อง หลักเกณฑ์การใช้จ่ายเงินเพื่อช่วยเหลือหรืออุดหนุนจากกองทุนพัฒนาฝีมือแรงงาน (ฉบับที่ ๒)</v>
      </c>
      <c r="D53" s="19" t="str">
        <f>Raw_Data_Copy!C53</f>
        <v>กฎหมายพัฒนาฝีมือแรงงาน</v>
      </c>
      <c r="E53" s="20" t="str">
        <f>Raw_Data_Copy!F53</f>
        <v>1/21/2026</v>
      </c>
      <c r="F53" s="19" t="e">
        <f t="shared" si="14"/>
        <v>#VALUE!</v>
      </c>
      <c r="G53" s="19" t="str">
        <f t="shared" si="15"/>
        <v>1/21/2026</v>
      </c>
      <c r="H53" s="19" t="str">
        <f>Raw_Data_Copy!I53</f>
        <v>Implemented</v>
      </c>
      <c r="I53" s="19" t="str">
        <f t="shared" si="16"/>
        <v>Implemented</v>
      </c>
      <c r="J53" s="19" t="str">
        <f>Raw_Data_Copy!L53</f>
        <v>Active</v>
      </c>
      <c r="K53" s="19" t="str">
        <f t="shared" si="17"/>
        <v>Active</v>
      </c>
      <c r="L53" s="19" t="str">
        <f>Raw_Data_Copy!J53</f>
        <v>จริง</v>
      </c>
      <c r="M53" s="19" t="str">
        <f>Raw_Data_Copy!K53</f>
        <v>1) บันทึกกฎหมายฉบับนี้ไว้ใน ทะเบียนกฎหมายและข้อกำหนดที่เกี่ยวข้อง หากองค์กรมีการใช้สิทธิจากกองทุนพัฒนาฝีมือแรงงาน 2) จัดทำหรือทบทวน ขั้นตอนการวางแผนอบรม การขออนุมัติหลักสูตร การเก็บหลักฐานการฝึกอบรม และการยื่นคำขอรับเงินอุดหนุน ให้สอดคล้องกับประกาศฉบับนี้ 3) ใช้เป็นฐานสนับสนุนการพัฒนาทักษะแรงงานในหลักสูตรที่เกี่ยวข้องกับ นวัตกรรม/AI ซึ่งช่วยยกระดับความสามารถของแรงงานและความพร้อมขององค์กรในระยะยาว 4) ในการตรวจติดตามภายใน ควรตรวจดูว่าองค์กรมี หลักฐานการอบรม, การเห็นชอบหลักสูตร, การคำนวณสิทธิ, และการยื่นคำขอภายในกำหนดเวลา ครบถ้วนหรือไม่ 5) ในเชิงระบบ เอกสารนี้มีผลต่อ การควบคุมเอกสาร, การติดตามความสอดคล้องตามกฎหมาย, การอบรม และการจัดการบันทึกหลักฐาน มากกว่าการกำหนดสิทธิขั้นพื้นฐานของลูกจ้างโดยตรง</v>
      </c>
      <c r="N53" s="21">
        <f t="shared" si="18"/>
        <v>1</v>
      </c>
      <c r="O53" s="21">
        <f t="shared" si="19"/>
        <v>0</v>
      </c>
      <c r="P53" s="21">
        <f t="shared" si="20"/>
        <v>0</v>
      </c>
      <c r="Q53" s="21">
        <f t="shared" si="21"/>
        <v>1</v>
      </c>
      <c r="R53" s="21">
        <f t="shared" si="22"/>
        <v>0</v>
      </c>
      <c r="S53" s="21">
        <f t="shared" si="23"/>
        <v>0</v>
      </c>
      <c r="T53" s="21">
        <f t="shared" si="24"/>
        <v>0</v>
      </c>
      <c r="U53" s="21">
        <f t="shared" si="25"/>
        <v>0</v>
      </c>
      <c r="V53" s="21">
        <f t="shared" si="26"/>
        <v>0</v>
      </c>
      <c r="W53" s="21">
        <f t="shared" si="27"/>
        <v>0</v>
      </c>
      <c r="X53" s="19" t="str">
        <f>Raw_Data_Copy!G53</f>
        <v>https://ratchakitcha.soc.go.th/documents/101869.pdf</v>
      </c>
      <c r="Y53" s="19">
        <f>Raw_Data_Copy!D53</f>
        <v>101869</v>
      </c>
      <c r="Z53" s="19" t="str">
        <f>Raw_Data_Copy!A53</f>
        <v>ประกาศคณะกรรมการส่งเสริมการพัฒนาฝีมือแรงงาน</v>
      </c>
    </row>
    <row r="54" spans="1:26">
      <c r="A54" s="19">
        <v>54</v>
      </c>
      <c r="B54" s="19">
        <f>Raw_Data_Copy!B54</f>
        <v>53</v>
      </c>
      <c r="C54" s="19" t="str">
        <f>Raw_Data_Copy!E54</f>
        <v>ประกาศกระทรวงแรงงาน เรื่อง การอนุญาตให้คนต่างด้าวทำงานในราชอาณาจักรเป็นการเฉพาะ สำหรับคนต่างด้าวสัญชาติลาวและเวียดนาม ซึ่งได้รับอนุญาตให้ทำงานถึงวันที่ 13 กุมภาพันธ์ 2569 ตามมติคณะรัฐมนตรีเมื่อวันที่ 2 ธันวาคม 2568</v>
      </c>
      <c r="D54" s="19" t="str">
        <f>Raw_Data_Copy!C54</f>
        <v>กฎหมายจัดหางาน</v>
      </c>
      <c r="E54" s="20">
        <f>Raw_Data_Copy!F54</f>
        <v>46266</v>
      </c>
      <c r="F54" s="19">
        <f t="shared" si="14"/>
        <v>2026</v>
      </c>
      <c r="G54" s="19" t="str">
        <f t="shared" si="15"/>
        <v>2026-09</v>
      </c>
      <c r="H54" s="19" t="str">
        <f>Raw_Data_Copy!I54</f>
        <v>Implemented</v>
      </c>
      <c r="I54" s="19" t="str">
        <f t="shared" si="16"/>
        <v>Implemented</v>
      </c>
      <c r="J54" s="19" t="str">
        <f>Raw_Data_Copy!L54</f>
        <v>Active</v>
      </c>
      <c r="K54" s="19" t="str">
        <f t="shared" si="17"/>
        <v>Active</v>
      </c>
      <c r="L54" s="19" t="str">
        <f>Raw_Data_Copy!J54</f>
        <v>จริง</v>
      </c>
      <c r="M54" s="19" t="str">
        <f>Raw_Data_Copy!K54</f>
        <v>1) ทบทวน ทะเบียนกฎหมายและข้อกำหนด ให้ครอบคลุมประกาศฉบับนี้ รวมถึงกฎหมายคนเข้าเมือง การบริหารจัดการการทำงานของคนต่างด้าว และข้อกำหนดเรื่องประกันสุขภาพ/ประกันสังคมที่เกี่ยวข้อง 2) จัดทำ บัญชีรายชื่อแรงงานต่างด้าวที่เข้าเงื่อนไข และติดตามวันครบกำหนดของการตรวจสุขภาพ ประกันสุขภาพ การยื่นคำขอ และเอกสารที่ใช้แทนใบอนุญาตทำงานอย่างใกล้ชิด 3) ควบคุม เอกสารสำคัญ เช่น ใบรับคำขอ ใบเสร็จรับเงิน ใบอนุญาตทำงาน หลักฐานการตรวจสุขภาพ หลักฐานประกันสุขภาพ/ประกันสังคม และเอกสารเปลี่ยนนายจ้าง ให้พร้อมต่อการตรวจติดตาม 4) ทบทวนขั้นตอน onboarding, renewal, transfer, labour document control และมอบหมายผู้รับผิดชอบระหว่าง HR, นายจ้าง, ตัวแทน, และผู้รับเหมา ให้ชัดเจน 5) บรรจุประเด็นนี้ไว้ใน internal audit / legal compliance review ของ มรท.8001 โดยตรวจว่ามีแรงงานทำงานก่อนโดยมีเอกสารรองรับถูกต้องหรือไม่ มีการทำประกันครบหรือไม่ และมีแรงงานใดเสี่ยงหลุดสถานะหรือไม่ 6) ใช้ในการอบรมผู้เกี่ยวข้องเพื่อป้องกันความเสี่ยงเรื่อง แรงงานต่างด้าวทำงานโดยเอกสารไม่ครบ, ประกันไม่ถูกต้อง, หรือ เปลี่ยนนายจ้างไม่เป็นไปตามเงื่อนไข ซึ่งอาจกระทบทั้งด้านกฎหมายและการรับรองระบบแรงงาน</v>
      </c>
      <c r="N54" s="21">
        <f t="shared" si="18"/>
        <v>1</v>
      </c>
      <c r="O54" s="21">
        <f t="shared" si="19"/>
        <v>0</v>
      </c>
      <c r="P54" s="21">
        <f t="shared" si="20"/>
        <v>0</v>
      </c>
      <c r="Q54" s="21">
        <f t="shared" si="21"/>
        <v>1</v>
      </c>
      <c r="R54" s="21">
        <f t="shared" si="22"/>
        <v>0</v>
      </c>
      <c r="S54" s="21">
        <f t="shared" si="23"/>
        <v>0</v>
      </c>
      <c r="T54" s="21">
        <f t="shared" si="24"/>
        <v>0</v>
      </c>
      <c r="U54" s="21">
        <f t="shared" si="25"/>
        <v>0</v>
      </c>
      <c r="V54" s="21">
        <f t="shared" si="26"/>
        <v>0</v>
      </c>
      <c r="W54" s="21">
        <f t="shared" si="27"/>
        <v>0</v>
      </c>
      <c r="X54" s="19" t="str">
        <f>Raw_Data_Copy!G54</f>
        <v>https://ratchakitcha.soc.go.th/documents/99072.pdf</v>
      </c>
      <c r="Y54" s="19">
        <f>Raw_Data_Copy!D54</f>
        <v>99072</v>
      </c>
      <c r="Z54" s="19" t="str">
        <f>Raw_Data_Copy!A54</f>
        <v>ประกาศกระทรวงแรงงาน</v>
      </c>
    </row>
    <row r="55" spans="1:26">
      <c r="A55" s="19">
        <v>55</v>
      </c>
      <c r="B55" s="19">
        <f>Raw_Data_Copy!B55</f>
        <v>54</v>
      </c>
      <c r="C55" s="19" t="str">
        <f>Raw_Data_Copy!E55</f>
        <v>ประกาศกระทรวงแรงงาน เรื่อง การอนุญาตให้คนต่างด้าวทำงานในราชอาณาจักรเป็นการเฉพาะ สำหรับคนต่างด้าวสัญชาติลาว เมียนมา และเวียดนาม ซึ่งได้รับอนุญาตให้ทำงานถึงวันที่ 31 มีนาคม 2569 ตามมติคณะรัฐมนตรีเมื่อวันที่ 2 ธันวาคม 2568</v>
      </c>
      <c r="D55" s="19" t="str">
        <f>Raw_Data_Copy!C55</f>
        <v>กฎหมายจัดหางาน</v>
      </c>
      <c r="E55" s="20">
        <f>Raw_Data_Copy!F55</f>
        <v>46266</v>
      </c>
      <c r="F55" s="19">
        <f t="shared" si="14"/>
        <v>2026</v>
      </c>
      <c r="G55" s="19" t="str">
        <f t="shared" si="15"/>
        <v>2026-09</v>
      </c>
      <c r="H55" s="19" t="str">
        <f>Raw_Data_Copy!I55</f>
        <v>Implemented</v>
      </c>
      <c r="I55" s="19" t="str">
        <f t="shared" si="16"/>
        <v>Implemented</v>
      </c>
      <c r="J55" s="19" t="str">
        <f>Raw_Data_Copy!L55</f>
        <v>Active</v>
      </c>
      <c r="K55" s="19" t="str">
        <f t="shared" si="17"/>
        <v>Active</v>
      </c>
      <c r="L55" s="19" t="str">
        <f>Raw_Data_Copy!J55</f>
        <v>จริง</v>
      </c>
      <c r="M55" s="19" t="str">
        <f>Raw_Data_Copy!K55</f>
        <v>1) ทบทวน ทะเบียนกฎหมายและข้อกำหนดที่เกี่ยวข้อง ให้ครอบคลุมประกาศฉบับนี้ รวมถึงกฎหมายคนเข้าเมือง กฎหมายบริหารจัดการการทำงานของคนต่างด้าว และข้อกำหนดเรื่องประกันสุขภาพ/ประกันสังคมที่เกี่ยวข้อง 2) จัดทำ บัญชีรายชื่อแรงงานต่างด้าวที่เข้าเงื่อนไข และติดตามวันครบกำหนดของการตรวจสุขภาพ ประกันสุขภาพ การยื่นคำขอ และเอกสารแทนใบอนุญาตทำงาน 3) ควบคุม เอกสารสำคัญ เช่น ใบรับคำขอ ใบเสร็จรับเงิน ใบอนุญาตทำงาน หลักฐานการตรวจสุขภาพ หลักฐานประกันสุขภาพ/ประกันสังคม และเอกสารเปลี่ยนนายจ้าง ให้พร้อมต่อการตรวจติดตาม 4) ทบทวนขั้นตอน onboarding, renewal, transfer, labour document control ให้ชัดเจนระหว่าง HR, หน่วยงานสนับสนุน, นายจ้าง และผู้รับเหมา 5)บรรจุประเด็นนี้ไว้ใน internal audit / legal compliance review ของ มรท.8001 โดยเฉพาะการตรวจแรงงานต่างด้าวว่าทำงานโดยมีเอกสารรองรับถูกต้องหรือไม่ มีประกันครบหรือไม่ และมีรายใดเสี่ยงหลุดสถานะหรือไม่</v>
      </c>
      <c r="N55" s="21">
        <f t="shared" si="18"/>
        <v>1</v>
      </c>
      <c r="O55" s="21">
        <f t="shared" si="19"/>
        <v>0</v>
      </c>
      <c r="P55" s="21">
        <f t="shared" si="20"/>
        <v>0</v>
      </c>
      <c r="Q55" s="21">
        <f t="shared" si="21"/>
        <v>1</v>
      </c>
      <c r="R55" s="21">
        <f t="shared" si="22"/>
        <v>0</v>
      </c>
      <c r="S55" s="21">
        <f t="shared" si="23"/>
        <v>0</v>
      </c>
      <c r="T55" s="21">
        <f t="shared" si="24"/>
        <v>0</v>
      </c>
      <c r="U55" s="21">
        <f t="shared" si="25"/>
        <v>0</v>
      </c>
      <c r="V55" s="21">
        <f t="shared" si="26"/>
        <v>0</v>
      </c>
      <c r="W55" s="21">
        <f t="shared" si="27"/>
        <v>0</v>
      </c>
      <c r="X55" s="19" t="str">
        <f>Raw_Data_Copy!G55</f>
        <v>https://ratchakitcha.soc.go.th/documents/99070.pdf</v>
      </c>
      <c r="Y55" s="19">
        <f>Raw_Data_Copy!D55</f>
        <v>99070</v>
      </c>
      <c r="Z55" s="19" t="str">
        <f>Raw_Data_Copy!A55</f>
        <v>ประกาศกระทรวงแรงงาน</v>
      </c>
    </row>
    <row r="56" spans="1:26">
      <c r="A56" s="19">
        <v>56</v>
      </c>
      <c r="B56" s="19">
        <f>Raw_Data_Copy!B56</f>
        <v>55</v>
      </c>
      <c r="C56" s="19" t="str">
        <f>Raw_Data_Copy!E56</f>
        <v>ประกาศคณะกรรมการการแพทย์ตามพระราชบัญญัติประกันสังคม เรื่อง หลักเกณฑ์และอัตราค่าส่งเสริมสุขภาพและป้องกันโรคสำหรับประโยชน์ทดแทนในกรณีประสบอันตรายหรือเจ็บป่วยอันมิใช่เนื่องจากการทำงาน พ.ศ. ๒๕๖๘</v>
      </c>
      <c r="D56" s="19" t="str">
        <f>Raw_Data_Copy!C56</f>
        <v>กฎหมายประกันสังคม</v>
      </c>
      <c r="E56" s="20" t="str">
        <f>Raw_Data_Copy!F56</f>
        <v>1/15/2026</v>
      </c>
      <c r="F56" s="19" t="e">
        <f t="shared" si="14"/>
        <v>#VALUE!</v>
      </c>
      <c r="G56" s="19" t="str">
        <f t="shared" si="15"/>
        <v>1/15/2026</v>
      </c>
      <c r="H56" s="19" t="str">
        <f>Raw_Data_Copy!I56</f>
        <v>Implemented</v>
      </c>
      <c r="I56" s="19" t="str">
        <f t="shared" si="16"/>
        <v>Implemented</v>
      </c>
      <c r="J56" s="19" t="str">
        <f>Raw_Data_Copy!L56</f>
        <v>Active</v>
      </c>
      <c r="K56" s="19" t="str">
        <f t="shared" si="17"/>
        <v>Active</v>
      </c>
      <c r="L56" s="19" t="str">
        <f>Raw_Data_Copy!J56</f>
        <v>จริง</v>
      </c>
      <c r="M56" s="19" t="str">
        <f>Raw_Data_Copy!K56</f>
        <v>1) ทบทวน ทะเบียนกฎหมายและข้อกำหนดที่เกี่ยวข้อง ให้ครอบคลุมประกาศฉบับนี้ หากองค์กรมีลูกจ้างที่เป็นผู้ประกันตนอายุ ๕๐ ปีขึ้นไป
2) ใช้เป็นข้อมูลในการจัดทำหรือสื่อสาร แผนสวัสดิการและส่งเสริมสุขภาพแรงงาน ร่วมกับ HR, Admin, Safety หรือพยาบาลวิชาชีพประจำสถานประกอบกิจการ
3) ประชาสัมพันธ์สิทธิให้ลูกจ้างกลุ่มเป้าหมายทราบอย่างทั่วถึง เช่น ช่วงเวลาใช้สิทธิ สถานพยาบาลที่กำหนด และเงื่อนไขการรับบริการ
4) ใช้เป็นหลักฐานสนับสนุนด้าน labour welfare / employee well-being ในระบบ มรท.8001 และในการตรวจติดตามภายใน องค์กรอาจตรวจว่ามีการสื่อสารสิทธิประโยชน์ด้านสุขภาพแก่ลูกจ้างอย่างเหมาะสมหรือไม่
5) หากองค์กรมีโครงการสร้างเสริมสุขภาพพนักงานอยู่แล้ว สามารถบูรณาการข้อมูลนี้เข้ากับกิจกรรมด้านสุขภาพประจำปี เพื่อยกระดับคุณภาพชีวิตแรงงานและลดความเสี่ยงด้านสุขภาพจากโรคตามฤดูกาล</v>
      </c>
      <c r="N56" s="21">
        <f t="shared" si="18"/>
        <v>1</v>
      </c>
      <c r="O56" s="21">
        <f t="shared" si="19"/>
        <v>0</v>
      </c>
      <c r="P56" s="21">
        <f t="shared" si="20"/>
        <v>0</v>
      </c>
      <c r="Q56" s="21">
        <f t="shared" si="21"/>
        <v>1</v>
      </c>
      <c r="R56" s="21">
        <f t="shared" si="22"/>
        <v>0</v>
      </c>
      <c r="S56" s="21">
        <f t="shared" si="23"/>
        <v>0</v>
      </c>
      <c r="T56" s="21">
        <f t="shared" si="24"/>
        <v>0</v>
      </c>
      <c r="U56" s="21">
        <f t="shared" si="25"/>
        <v>0</v>
      </c>
      <c r="V56" s="21">
        <f t="shared" si="26"/>
        <v>0</v>
      </c>
      <c r="W56" s="21">
        <f t="shared" si="27"/>
        <v>0</v>
      </c>
      <c r="X56" s="19" t="str">
        <f>Raw_Data_Copy!G56</f>
        <v>https://ratchakitcha.soc.go.th/documents/101606.pdf</v>
      </c>
      <c r="Y56" s="19">
        <f>Raw_Data_Copy!D56</f>
        <v>101606</v>
      </c>
      <c r="Z56" s="19" t="str">
        <f>Raw_Data_Copy!A56</f>
        <v>ประกาศคณะกรรมการการแพทย์ตามพระราชบัญญัติประกันสังคม</v>
      </c>
    </row>
    <row r="57" spans="1:26">
      <c r="A57" s="19">
        <v>57</v>
      </c>
      <c r="B57" s="19">
        <f>Raw_Data_Copy!B57</f>
        <v>56</v>
      </c>
      <c r="C57" s="19" t="str">
        <f>Raw_Data_Copy!E57</f>
        <v>ประกาศคณะกรรมการการแพทย์ตามพระราชบัญญัติประกันสังคม เรื่อง หลักเกณฑ์และอัตราสำหรับประโยชน์ทดแทนในกรณีประสบอันตรายหรือเจ็บป่วยอันมิใช่เนื่องจากการทำงาน</v>
      </c>
      <c r="D57" s="19" t="str">
        <f>Raw_Data_Copy!C57</f>
        <v>กฎหมายประกันสังคม</v>
      </c>
      <c r="E57" s="20">
        <f>Raw_Data_Copy!F57</f>
        <v>46083</v>
      </c>
      <c r="F57" s="19">
        <f t="shared" si="14"/>
        <v>2026</v>
      </c>
      <c r="G57" s="19" t="str">
        <f t="shared" si="15"/>
        <v>2026-03</v>
      </c>
      <c r="H57" s="19" t="str">
        <f>Raw_Data_Copy!I57</f>
        <v>Implemented</v>
      </c>
      <c r="I57" s="19" t="str">
        <f t="shared" si="16"/>
        <v>Implemented</v>
      </c>
      <c r="J57" s="19" t="str">
        <f>Raw_Data_Copy!L57</f>
        <v>Active</v>
      </c>
      <c r="K57" s="19" t="str">
        <f t="shared" si="17"/>
        <v>Active</v>
      </c>
      <c r="L57" s="19" t="str">
        <f>Raw_Data_Copy!J57</f>
        <v>จริง</v>
      </c>
      <c r="M57" s="19" t="str">
        <f>Raw_Data_Copy!K57</f>
        <v>1) ทบทวน ทะเบียนกฎหมายและข้อกำหนดที่เกี่ยวข้อง ให้ครอบคลุมประกาศฉบับนี้ โดยเฉพาะในส่วนสิทธิประโยชน์ด้านการแพทย์ของผู้ประกันตน
2) ประสาน HR, หน่วยงานสวัสดิการ, แพทย์/พยาบาลประจำสถานประกอบกิจการ หรือผู้ดูแล employee well-being เพื่อ สื่อสารสิทธิการรักษา แก่ลูกจ้างที่อาจเข้าเกณฑ์
3) ใช้เป็นข้อมูลสนับสนุน โครงการส่งเสริมสุขภาพแรงงาน เช่น การควบคุมน้ำหนัก การป้องกันโรคไม่ติดต่อเรื้อรัง และการดูแลแรงงานที่มีความเสี่ยงด้านสุขภาพ
4) ในการตรวจติดตามภายใน มรท.8001 องค์กรอาจตรวจว่าได้มีการ สื่อสารสิทธิประกันสังคมและสิทธิด้านสุขภาพ ให้ลูกจ้างอย่างเหมาะสมหรือไม่
5) หากองค์กรมีแรงงานที่มีภาวะอ้วนรุนแรงหรือโรคร่วมจำนวนมาก ประกาศนี้อาจช่วยลดผลกระทบด้านสุขภาพ การขาดงาน และเพิ่มโอกาสกลับสู่การทำงานอย่างมีประสิทธิภาพได้</v>
      </c>
      <c r="N57" s="21">
        <f t="shared" si="18"/>
        <v>1</v>
      </c>
      <c r="O57" s="21">
        <f t="shared" si="19"/>
        <v>0</v>
      </c>
      <c r="P57" s="21">
        <f t="shared" si="20"/>
        <v>0</v>
      </c>
      <c r="Q57" s="21">
        <f t="shared" si="21"/>
        <v>1</v>
      </c>
      <c r="R57" s="21">
        <f t="shared" si="22"/>
        <v>0</v>
      </c>
      <c r="S57" s="21">
        <f t="shared" si="23"/>
        <v>0</v>
      </c>
      <c r="T57" s="21">
        <f t="shared" si="24"/>
        <v>0</v>
      </c>
      <c r="U57" s="21">
        <f t="shared" si="25"/>
        <v>0</v>
      </c>
      <c r="V57" s="21">
        <f t="shared" si="26"/>
        <v>0</v>
      </c>
      <c r="W57" s="21">
        <f t="shared" si="27"/>
        <v>0</v>
      </c>
      <c r="X57" s="19" t="str">
        <f>Raw_Data_Copy!G57</f>
        <v>https://ratchakitcha.soc.go.th/documents/102373.pdf</v>
      </c>
      <c r="Y57" s="19">
        <f>Raw_Data_Copy!D57</f>
        <v>102373</v>
      </c>
      <c r="Z57" s="19" t="str">
        <f>Raw_Data_Copy!A57</f>
        <v>ประกาศคณะกรรมการการแพทย์ตามพระราชบัญญัติประกันสังคม</v>
      </c>
    </row>
    <row r="58" spans="1:26">
      <c r="A58" s="19">
        <v>58</v>
      </c>
      <c r="B58" s="19">
        <f>Raw_Data_Copy!B58</f>
        <v>57</v>
      </c>
      <c r="C58" s="19" t="str">
        <f>Raw_Data_Copy!E58</f>
        <v>ประกาศคณะกรรมการการแพทย์ตามพระราชบัญญัติประกันสังคม เรื่อง หลักเกณฑ์และอัตราค่าบริการทางการแพทย์เพื่อเพิ่มประสิทธิภาพการเข้าถึงการรักษาของผู้ประกันตนในระบบประกันสังคม</v>
      </c>
      <c r="D58" s="19" t="str">
        <f>Raw_Data_Copy!C58</f>
        <v>กฎหมายประกันสังคม</v>
      </c>
      <c r="E58" s="20">
        <f>Raw_Data_Copy!F58</f>
        <v>46357</v>
      </c>
      <c r="F58" s="19">
        <f t="shared" si="14"/>
        <v>2026</v>
      </c>
      <c r="G58" s="19" t="str">
        <f t="shared" si="15"/>
        <v>2026-12</v>
      </c>
      <c r="H58" s="19" t="str">
        <f>Raw_Data_Copy!I58</f>
        <v>Implemented</v>
      </c>
      <c r="I58" s="19" t="str">
        <f t="shared" si="16"/>
        <v>Implemented</v>
      </c>
      <c r="J58" s="19" t="str">
        <f>Raw_Data_Copy!L58</f>
        <v>Active</v>
      </c>
      <c r="K58" s="19" t="str">
        <f t="shared" si="17"/>
        <v>Active</v>
      </c>
      <c r="L58" s="19" t="str">
        <f>Raw_Data_Copy!J58</f>
        <v>จริง</v>
      </c>
      <c r="M58" s="19" t="str">
        <f>Raw_Data_Copy!K58</f>
        <v>1) ทบทวน ทะเบียนกฎหมายและข้อกำหนดที่เกี่ยวข้อง ให้ครอบคลุมประกาศนี้ โดยเฉพาะในส่วนสิทธิประโยชน์ด้านการรักษาพยาบาลของผู้ประกันตน
2) สื่อสารให้ HR, welfare, พยาบาลวิชาชีพ, เจ้าหน้าที่ประกันสังคม และลูกจ้างทราบว่า ผู้ประกันตนสามารถเข้าถึงการรักษาภาวะฉุกเฉินบางประเภทได้ภายใต้หลักเกณฑ์ใหม่ของประกันสังคม
3) ใช้เป็นข้อมูลสนับสนุนด้าน employee well-being และ labour welfare โดยเฉพาะในองค์กรที่มีลูกจ้างกลุ่มเสี่ยงโรคหัวใจ โรคหลอดเลือดสมอง หรือโรคไม่ติดต่อเรื้อรังจำนวนมาก
4) บูรณาการเข้ากับระบบ มรท.8001 ในด้าน การอบรม/การสื่อสารสิทธิ, การจัดการสวัสดิการ, และ การดูแลแรงงานหลังเจ็บป่วยหรือกลับเข้าทำงาน เพื่อช่วยให้แรงงานเข้าถึงสิทธิได้รวดเร็วขึ้น
5) ในการตรวจติดตามภายใน องค์กรอาจตรวจว่ามีการสื่อสารสิทธิประโยชน์ประกันสังคมที่สำคัญแก่ลูกจ้างอย่างทั่วถึงหรือไม่ โดยเฉพาะกรณีโรครุนแรงที่ต้องรักษาเร่งด่วน</v>
      </c>
      <c r="N58" s="21">
        <f t="shared" si="18"/>
        <v>1</v>
      </c>
      <c r="O58" s="21">
        <f t="shared" si="19"/>
        <v>0</v>
      </c>
      <c r="P58" s="21">
        <f t="shared" si="20"/>
        <v>0</v>
      </c>
      <c r="Q58" s="21">
        <f t="shared" si="21"/>
        <v>1</v>
      </c>
      <c r="R58" s="21">
        <f t="shared" si="22"/>
        <v>0</v>
      </c>
      <c r="S58" s="21">
        <f t="shared" si="23"/>
        <v>0</v>
      </c>
      <c r="T58" s="21">
        <f t="shared" si="24"/>
        <v>0</v>
      </c>
      <c r="U58" s="21">
        <f t="shared" si="25"/>
        <v>0</v>
      </c>
      <c r="V58" s="21">
        <f t="shared" si="26"/>
        <v>0</v>
      </c>
      <c r="W58" s="21">
        <f t="shared" si="27"/>
        <v>0</v>
      </c>
      <c r="X58" s="19" t="str">
        <f>Raw_Data_Copy!G58</f>
        <v>https://ratchakitcha.soc.go.th/documents/102381.pdf</v>
      </c>
      <c r="Y58" s="19">
        <f>Raw_Data_Copy!D58</f>
        <v>102381</v>
      </c>
      <c r="Z58" s="19" t="str">
        <f>Raw_Data_Copy!A58</f>
        <v>ประกาศคณะกรรมการการแพทย์ตามพระราชบัญญัติประกันสังคม</v>
      </c>
    </row>
    <row r="59" spans="1:26">
      <c r="A59" s="18">
        <v>59</v>
      </c>
      <c r="B59" s="18">
        <f>Raw_Data_Copy!B59</f>
        <v>58</v>
      </c>
      <c r="C59" s="18" t="str">
        <f>Raw_Data_Copy!E59</f>
        <v>พระราชบัญญัติความปลอดภัย อาชีวอนามัย และสภาพแวดล้อมในการทำงาน พ.ศ. 2554</v>
      </c>
      <c r="D59" s="18" t="str">
        <f>Raw_Data_Copy!C59</f>
        <v>กฎหมายความปลอดภัย อาชีวอนามัย และสภาพแวดล้อมในการทำงาน</v>
      </c>
      <c r="E59" s="22">
        <f>Raw_Data_Copy!F59</f>
        <v>41244</v>
      </c>
      <c r="F59" s="18">
        <f t="shared" si="14"/>
        <v>2012</v>
      </c>
      <c r="G59" s="18" t="str">
        <f t="shared" si="15"/>
        <v>2012-12</v>
      </c>
      <c r="H59" s="18" t="str">
        <f>Raw_Data_Copy!I59</f>
        <v>Implemented</v>
      </c>
      <c r="I59" s="18" t="str">
        <f t="shared" si="16"/>
        <v>Implemented</v>
      </c>
      <c r="J59" s="18" t="str">
        <f>Raw_Data_Copy!L59</f>
        <v>Active</v>
      </c>
      <c r="K59" s="18" t="str">
        <f t="shared" si="17"/>
        <v>Active</v>
      </c>
      <c r="L59" s="18" t="str">
        <f>Raw_Data_Copy!J59</f>
        <v>จริง</v>
      </c>
      <c r="M59" s="18" t="str">
        <f>Raw_Data_Copy!K59</f>
        <v>1) นำกฎหมายฉบับนี้และกฎหมายลำดับรองที่เกี่ยวข้องเข้าไว้ใน ทะเบียนกฎหมายและข้อกำหนด ขององค์กร
2) จัดทำ/ทบทวน นโยบายความปลอดภัย อาชีวอนามัย และสภาพแวดล้อมในการทำงาน ให้สอดคล้องกับหน้าที่ตามกฎหมาย
3) จัดให้มี เจ้าหน้าที่ความปลอดภัย, บุคลากร, คณะกรรมการความปลอดภัย หรือโครงสร้างที่เกี่ยวข้อง ตามประเภทกิจการและขนาดกิจการ
4) จัดทำ hazard identification, risk assessment, impact study, action plan, control plan และหลักฐานประกอบให้ครบถ้วน
5) จัด การอบรมความปลอดภัย ให้ผู้บริหาร หัวหน้างาน และลูกจ้างทุกคน รวมถึงก่อนเริ่มงาน/เปลี่ยนงาน/เปลี่ยนเครื่องจักรตามที่กฎหมายกำหนด
6) ควบคุม PPE, ป้ายเตือน, คู่มือปฏิบัติงาน, การสื่อสารอันตราย, การรายงานอุบัติภัย และระบบสอบสวนอุบัติเหตุให้ใช้งานได้จริง
7) ใช้กฎหมายนี้เป็นเกณฑ์ในการ ตรวจติดตามภายใน, ประเมินความสอดคล้องตามกฎหมาย, contractor control, corrective action, management review ของระบบ มรท.8001</v>
      </c>
      <c r="N59" s="18">
        <f t="shared" si="18"/>
        <v>1</v>
      </c>
      <c r="O59" s="18">
        <f t="shared" si="19"/>
        <v>0</v>
      </c>
      <c r="P59" s="18">
        <f t="shared" si="20"/>
        <v>0</v>
      </c>
      <c r="Q59" s="18">
        <f t="shared" si="21"/>
        <v>1</v>
      </c>
      <c r="R59" s="18">
        <f t="shared" si="22"/>
        <v>0</v>
      </c>
      <c r="S59" s="18">
        <f t="shared" si="23"/>
        <v>0</v>
      </c>
      <c r="T59" s="18">
        <f t="shared" si="24"/>
        <v>0</v>
      </c>
      <c r="U59" s="18">
        <f t="shared" si="25"/>
        <v>0</v>
      </c>
      <c r="V59" s="18">
        <f t="shared" si="26"/>
        <v>0</v>
      </c>
      <c r="W59" s="18">
        <f t="shared" si="27"/>
        <v>0</v>
      </c>
      <c r="X59" s="18" t="str">
        <f>Raw_Data_Copy!G59</f>
        <v>https://legal.labour.go.th/images/law/Safety2554/safety54.pdf</v>
      </c>
      <c r="Y59" s="18">
        <f>Raw_Data_Copy!D59</f>
        <v>0</v>
      </c>
      <c r="Z59" s="18" t="str">
        <f>Raw_Data_Copy!A59</f>
        <v>พระราชบัญญัติ</v>
      </c>
    </row>
    <row r="60" spans="1:26">
      <c r="A60" s="18">
        <v>60</v>
      </c>
      <c r="B60" s="18">
        <f>Raw_Data_Copy!B60</f>
        <v>59</v>
      </c>
      <c r="C60" s="18" t="str">
        <f>Raw_Data_Copy!E60</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และสภาพแวดล้อมในการทำงานเกี่ยวกับการป้องกันและระงับอัคคีภัย พ.ศ. 2555</v>
      </c>
      <c r="D60" s="18" t="str">
        <f>Raw_Data_Copy!C60</f>
        <v>กฎหมายความปลอดภัย อาชีวอนามัย และสภาพแวดล้อมในการทำงาน</v>
      </c>
      <c r="E60" s="22" t="str">
        <f>Raw_Data_Copy!F60</f>
        <v>12/17/2013</v>
      </c>
      <c r="F60" s="18" t="e">
        <f t="shared" si="14"/>
        <v>#VALUE!</v>
      </c>
      <c r="G60" s="18" t="str">
        <f t="shared" si="15"/>
        <v>12/17/2013</v>
      </c>
      <c r="H60" s="18" t="str">
        <f>Raw_Data_Copy!I60</f>
        <v>Implemented</v>
      </c>
      <c r="I60" s="18" t="str">
        <f t="shared" si="16"/>
        <v>Implemented</v>
      </c>
      <c r="J60" s="18" t="str">
        <f>Raw_Data_Copy!L60</f>
        <v>Active</v>
      </c>
      <c r="K60" s="18" t="str">
        <f t="shared" si="17"/>
        <v>Active</v>
      </c>
      <c r="L60" s="18" t="str">
        <f>Raw_Data_Copy!J60</f>
        <v>จริง</v>
      </c>
      <c r="M60" s="18" t="str">
        <f>Raw_Data_Copy!K60</f>
        <v>1) บรรจุกฎหมายฉบับนี้ไว้ใน ทะเบียนกฎหมายและข้อกำหนด ของระบบ มรท.8001
2) จัดทำ/ทบทวน แผนป้องกันและระงับอัคคีภัย 6 แผน ให้ครบ และควบคุมเอกสารให้เป็นปัจจุบัน
3) ตรวจความพร้อมของ ทางหนีไฟ ประตูหนีไฟ ป้ายหนีไฟ ระบบแจ้งเหตุเพลิงไหม้ แสงสว่างฉุกเฉิน น้ำสำรองดับเพลิง และเครื่องดับเพลิง ให้ตรงตามความเสี่ยงของสถานประกอบกิจการ
4) จัดทำระบบ inspection / preventive maintenance / record keeping สำหรับอุปกรณ์ดับเพลิงและระบบที่เกี่ยวข้อง
5) จัด ฝึกอบรมดับเพลิงขั้นต้น และ ฝึกซ้อมดับเพลิง-อพยพหนีไฟประจำปี พร้อมหลักฐานแผนและรายงานผล
6) ใช้กฎหมายฉบับนี้เป็นเกณฑ์ในการ internal audit, legal compliance evaluation, corrective action, emergency preparedness review และ contractor control</v>
      </c>
      <c r="N60" s="18">
        <f t="shared" si="18"/>
        <v>1</v>
      </c>
      <c r="O60" s="18">
        <f t="shared" si="19"/>
        <v>0</v>
      </c>
      <c r="P60" s="18">
        <f t="shared" si="20"/>
        <v>0</v>
      </c>
      <c r="Q60" s="18">
        <f t="shared" si="21"/>
        <v>1</v>
      </c>
      <c r="R60" s="18">
        <f t="shared" si="22"/>
        <v>0</v>
      </c>
      <c r="S60" s="18">
        <f t="shared" si="23"/>
        <v>0</v>
      </c>
      <c r="T60" s="18">
        <f t="shared" si="24"/>
        <v>0</v>
      </c>
      <c r="U60" s="18">
        <f t="shared" si="25"/>
        <v>0</v>
      </c>
      <c r="V60" s="18">
        <f t="shared" si="26"/>
        <v>0</v>
      </c>
      <c r="W60" s="18">
        <f t="shared" si="27"/>
        <v>0</v>
      </c>
      <c r="X60" s="18" t="str">
        <f>Raw_Data_Copy!G60</f>
        <v>https://legal.labour.go.th/images/law/Safety2554/2/s_001.pdf</v>
      </c>
      <c r="Y60" s="18">
        <f>Raw_Data_Copy!D60</f>
        <v>0</v>
      </c>
      <c r="Z60" s="18" t="str">
        <f>Raw_Data_Copy!A60</f>
        <v>กฎกระทรวง</v>
      </c>
    </row>
    <row r="61" spans="1:26">
      <c r="A61" s="18">
        <v>61</v>
      </c>
      <c r="B61" s="18">
        <f>Raw_Data_Copy!B61</f>
        <v>60</v>
      </c>
      <c r="C61" s="18" t="str">
        <f>Raw_Data_Copy!E61</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และสภาพแวดล้อมในการทำงานเกี่ยวกับการป้องกันและระงับอัคคีภัย (ฉบับที่ 2) พ.ศ. 2561</v>
      </c>
      <c r="D61" s="18" t="str">
        <f>Raw_Data_Copy!C61</f>
        <v>กฎหมายความปลอดภัย อาชีวอนามัย และสภาพแวดล้อมในการทำงาน</v>
      </c>
      <c r="E61" s="22" t="str">
        <f>Raw_Data_Copy!F61</f>
        <v>8/29/2021</v>
      </c>
      <c r="F61" s="18" t="e">
        <f t="shared" si="14"/>
        <v>#VALUE!</v>
      </c>
      <c r="G61" s="18" t="str">
        <f t="shared" si="15"/>
        <v>8/29/2021</v>
      </c>
      <c r="H61" s="18" t="str">
        <f>Raw_Data_Copy!I61</f>
        <v>Implemented</v>
      </c>
      <c r="I61" s="18" t="str">
        <f t="shared" si="16"/>
        <v>Implemented</v>
      </c>
      <c r="J61" s="18" t="str">
        <f>Raw_Data_Copy!L61</f>
        <v>Active</v>
      </c>
      <c r="K61" s="18" t="str">
        <f t="shared" si="17"/>
        <v>Active</v>
      </c>
      <c r="L61" s="18" t="str">
        <f>Raw_Data_Copy!J61</f>
        <v>จริง</v>
      </c>
      <c r="M61" s="18" t="str">
        <f>Raw_Data_Copy!K61</f>
        <v>1) ทบทวน ป้ายบอกทางหนีไฟ ให้มีขนาดตัวอักษรไม่น้อยกว่า 10 เซนติเมตร และมองเห็นได้ชัดเจน
2) หากมีการเก็บ ถ่านหิน ผงแร่ เซลลูลอยด์ หรือของแข็งที่ติดไฟง่าย ต้องทบทวนวิธีเก็บ การป้องกันความร้อน การระบายอากาศ และความเสี่ยงจาก dust explosion ให้สอดคล้องกับกฎหมายฉบับนี้
3) จัดทำ/ปรับปรุง วิธีปฏิบัติงาน, แผนฉุกเฉิน, แบบตรวจสอบ, บันทึกการตรวจวัดอุณหภูมิ, และบันทึกการตรวจติดตาม ให้ครบถ้วน
4) นำประเด็นนี้เข้าไปอยู่ใน internal audit, legal compliance evaluation, hazard identification/risk assessment และการควบคุมเอกสารในระบบ มรท.8001
5) อบรมผู้เกี่ยวข้อง เช่น HR, Safety, Maintenance, Warehouse, Utility หรือผู้ควบคุมคลังวัสดุ ให้เข้าใจข้อกำหนดใหม่และวิธีควบคุมความเสี่ยงอย่างถูกต้อง</v>
      </c>
      <c r="N61" s="18">
        <f t="shared" si="18"/>
        <v>1</v>
      </c>
      <c r="O61" s="18">
        <f t="shared" si="19"/>
        <v>0</v>
      </c>
      <c r="P61" s="18">
        <f t="shared" si="20"/>
        <v>0</v>
      </c>
      <c r="Q61" s="18">
        <f t="shared" si="21"/>
        <v>1</v>
      </c>
      <c r="R61" s="18">
        <f t="shared" si="22"/>
        <v>0</v>
      </c>
      <c r="S61" s="18">
        <f t="shared" si="23"/>
        <v>0</v>
      </c>
      <c r="T61" s="18">
        <f t="shared" si="24"/>
        <v>0</v>
      </c>
      <c r="U61" s="18">
        <f t="shared" si="25"/>
        <v>0</v>
      </c>
      <c r="V61" s="18">
        <f t="shared" si="26"/>
        <v>0</v>
      </c>
      <c r="W61" s="18">
        <f t="shared" si="27"/>
        <v>0</v>
      </c>
      <c r="X61" s="18" t="str">
        <f>Raw_Data_Copy!G61</f>
        <v>https://legal.labour.go.th/images/law/Safety2554/2/Law02_2020.pdf</v>
      </c>
      <c r="Y61" s="18">
        <f>Raw_Data_Copy!D61</f>
        <v>0</v>
      </c>
      <c r="Z61" s="18" t="str">
        <f>Raw_Data_Copy!A61</f>
        <v>กฎกระทรวง</v>
      </c>
    </row>
    <row r="62" spans="1:26">
      <c r="A62" s="18">
        <v>62</v>
      </c>
      <c r="B62" s="18">
        <f>Raw_Data_Copy!B62</f>
        <v>61</v>
      </c>
      <c r="C62" s="18" t="str">
        <f>Raw_Data_Copy!E62</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และสภาพแวดล้อมในการทำงานเกี่ยวกับสารเคมีอันตราย พ.ศ. 2556</v>
      </c>
      <c r="D62" s="18" t="str">
        <f>Raw_Data_Copy!C62</f>
        <v>กฎหมายความปลอดภัย อาชีวอนามัย และสภาพแวดล้อมในการทำงาน</v>
      </c>
      <c r="E62" s="22" t="str">
        <f>Raw_Data_Copy!F62</f>
        <v>11/29/2013</v>
      </c>
      <c r="F62" s="18" t="e">
        <f t="shared" si="14"/>
        <v>#VALUE!</v>
      </c>
      <c r="G62" s="18" t="str">
        <f t="shared" si="15"/>
        <v>11/29/2013</v>
      </c>
      <c r="H62" s="18" t="str">
        <f>Raw_Data_Copy!I62</f>
        <v>Implemented</v>
      </c>
      <c r="I62" s="18" t="str">
        <f t="shared" si="16"/>
        <v>Implemented</v>
      </c>
      <c r="J62" s="18" t="str">
        <f>Raw_Data_Copy!L62</f>
        <v>Active</v>
      </c>
      <c r="K62" s="18" t="str">
        <f t="shared" si="17"/>
        <v>Active</v>
      </c>
      <c r="L62" s="18" t="str">
        <f>Raw_Data_Copy!J62</f>
        <v>จริง</v>
      </c>
      <c r="M62" s="18" t="str">
        <f>Raw_Data_Copy!K62</f>
        <v>1) บรรจุกฎหมายฉบับนี้ไว้ใน ทะเบียนกฎหมาย OHS/Legal Register
2) จัดทำ Chemical Inventory, SDS Register, วิธีปฏิบัติงาน, ป้ายเตือน, ฉลาก, และระบบควบคุมเอกสาร
3) ทำ Hazard Identification / Risk Assessment สำหรับงานที่เกี่ยวกับสารเคมี
4) จัดระบบ PPE, ventilation, emergency shower/eyewash, spill control, fire protection
5) ตรวจวัดสภาพแวดล้อมและเฝ้าระวังสุขภาพลูกจ้างตามความเสี่ยง
6) จัดทำ Emergency Response Plan และฝึกซ้อมเหตุฉุกเฉินสารเคมี
7) ใช้เป็นเกณฑ์ใน internal audit, legal compliance evaluation, contractor control, training plan, corrective action ของระบบ มรท.8001</v>
      </c>
      <c r="N62" s="18">
        <f t="shared" si="18"/>
        <v>1</v>
      </c>
      <c r="O62" s="18">
        <f t="shared" si="19"/>
        <v>0</v>
      </c>
      <c r="P62" s="18">
        <f t="shared" si="20"/>
        <v>0</v>
      </c>
      <c r="Q62" s="18">
        <f t="shared" si="21"/>
        <v>1</v>
      </c>
      <c r="R62" s="18">
        <f t="shared" si="22"/>
        <v>0</v>
      </c>
      <c r="S62" s="18">
        <f t="shared" si="23"/>
        <v>0</v>
      </c>
      <c r="T62" s="18">
        <f t="shared" si="24"/>
        <v>0</v>
      </c>
      <c r="U62" s="18">
        <f t="shared" si="25"/>
        <v>0</v>
      </c>
      <c r="V62" s="18">
        <f t="shared" si="26"/>
        <v>0</v>
      </c>
      <c r="W62" s="18">
        <f t="shared" si="27"/>
        <v>0</v>
      </c>
      <c r="X62" s="18" t="str">
        <f>Raw_Data_Copy!G62</f>
        <v>https://legal.labour.go.th/images/law/Safety2554/2/s_002.pdf</v>
      </c>
      <c r="Y62" s="18">
        <f>Raw_Data_Copy!D62</f>
        <v>0</v>
      </c>
      <c r="Z62" s="18" t="str">
        <f>Raw_Data_Copy!A62</f>
        <v>กฎกระทรวง</v>
      </c>
    </row>
    <row r="63" spans="1:26">
      <c r="A63" s="18">
        <v>63</v>
      </c>
      <c r="B63" s="18">
        <f>Raw_Data_Copy!B63</f>
        <v>62</v>
      </c>
      <c r="C63" s="18" t="str">
        <f>Raw_Data_Copy!E63</f>
        <v>ประกาศกรมสวัสดิการและคุ้มครองแรงงาน เรื่อง บัญชีรายชื่อสารเคมีอันตราย</v>
      </c>
      <c r="D63" s="18" t="str">
        <f>Raw_Data_Copy!C63</f>
        <v>กฎหมายความปลอดภัย อาชีวอนามัย และสภาพแวดล้อมในการทำงาน</v>
      </c>
      <c r="E63" s="22">
        <f>Raw_Data_Copy!F63</f>
        <v>41437</v>
      </c>
      <c r="F63" s="18">
        <f t="shared" si="14"/>
        <v>2013</v>
      </c>
      <c r="G63" s="18" t="str">
        <f t="shared" si="15"/>
        <v>2013-06</v>
      </c>
      <c r="H63" s="18" t="str">
        <f>Raw_Data_Copy!I63</f>
        <v>Implemented</v>
      </c>
      <c r="I63" s="18" t="str">
        <f t="shared" si="16"/>
        <v>Implemented</v>
      </c>
      <c r="J63" s="18" t="str">
        <f>Raw_Data_Copy!L63</f>
        <v>Active</v>
      </c>
      <c r="K63" s="18" t="str">
        <f t="shared" si="17"/>
        <v>Active</v>
      </c>
      <c r="L63" s="18" t="str">
        <f>Raw_Data_Copy!J63</f>
        <v>จริง</v>
      </c>
      <c r="M63" s="18" t="str">
        <f>Raw_Data_Copy!K63</f>
        <v>1) ใช้ประกาศนี้เป็นฐานจัดทำ Chemical Register / Inventory
2) ใช้เทียบชื่อสาร ชื่อการค้า Synonym และ CAS Number เพื่อป้องกันการตกหล่น
3) ใช้ประกอบการประเมินความเสี่ยง การจัดทำ SDS การติดฉลาก และการตรวจประเมินความสอดคล้อง
4) เชื่อมกับข้อกำหนด มรท.8001 เรื่องการเข้าถึงข้อมูลอันตราย การสื่อสารความปลอดภัย และการควบคุมสภาพแวดล้อมในการทำงาน</v>
      </c>
      <c r="N63" s="18">
        <f t="shared" si="18"/>
        <v>1</v>
      </c>
      <c r="O63" s="18">
        <f t="shared" si="19"/>
        <v>0</v>
      </c>
      <c r="P63" s="18">
        <f t="shared" si="20"/>
        <v>0</v>
      </c>
      <c r="Q63" s="18">
        <f t="shared" si="21"/>
        <v>1</v>
      </c>
      <c r="R63" s="18">
        <f t="shared" si="22"/>
        <v>0</v>
      </c>
      <c r="S63" s="18">
        <f t="shared" si="23"/>
        <v>0</v>
      </c>
      <c r="T63" s="18">
        <f t="shared" si="24"/>
        <v>0</v>
      </c>
      <c r="U63" s="18">
        <f t="shared" si="25"/>
        <v>0</v>
      </c>
      <c r="V63" s="18">
        <f t="shared" si="26"/>
        <v>0</v>
      </c>
      <c r="W63" s="18">
        <f t="shared" si="27"/>
        <v>0</v>
      </c>
      <c r="X63" s="18" t="str">
        <f>Raw_Data_Copy!G63</f>
        <v>https://legal.labour.go.th/images/law/Safety2554/2/s_002.pdf</v>
      </c>
      <c r="Y63" s="18">
        <f>Raw_Data_Copy!D63</f>
        <v>0</v>
      </c>
      <c r="Z63" s="18" t="str">
        <f>Raw_Data_Copy!A63</f>
        <v>ประกาศกรมสวัสดิการและคุ้มครองแรงงาน</v>
      </c>
    </row>
    <row r="64" spans="1:26">
      <c r="A64" s="18">
        <v>64</v>
      </c>
      <c r="B64" s="18">
        <f>Raw_Data_Copy!B64</f>
        <v>63</v>
      </c>
      <c r="C64" s="18" t="str">
        <f>Raw_Data_Copy!E64</f>
        <v>ประกาศกรมสวัสดิการและคุ้มครองแรงงาน เรื่อง แบบบัญชีรายชื่อสารเคมีอันตรายและรายละเอียดข้อมูลความปลอดภัยของสารเคมีอันตราย</v>
      </c>
      <c r="D64" s="18" t="str">
        <f>Raw_Data_Copy!C64</f>
        <v>กฎหมายความปลอดภัย อาชีวอนามัย และสภาพแวดล้อมในการทำงาน</v>
      </c>
      <c r="E64" s="22">
        <f>Raw_Data_Copy!F64</f>
        <v>41437</v>
      </c>
      <c r="F64" s="18">
        <f t="shared" si="14"/>
        <v>2013</v>
      </c>
      <c r="G64" s="18" t="str">
        <f t="shared" si="15"/>
        <v>2013-06</v>
      </c>
      <c r="H64" s="18" t="str">
        <f>Raw_Data_Copy!I64</f>
        <v>Implemented</v>
      </c>
      <c r="I64" s="18" t="str">
        <f t="shared" si="16"/>
        <v>Implemented</v>
      </c>
      <c r="J64" s="18" t="str">
        <f>Raw_Data_Copy!L64</f>
        <v>Active</v>
      </c>
      <c r="K64" s="18" t="str">
        <f t="shared" si="17"/>
        <v>Active</v>
      </c>
      <c r="L64" s="18" t="str">
        <f>Raw_Data_Copy!J64</f>
        <v>จริง</v>
      </c>
      <c r="M64" s="18" t="str">
        <f>Raw_Data_Copy!K64</f>
        <v>1) ใช้แบบ สอ.1 เป็นฐานจัดทำ ทะเบียนสารเคมีอันตราย / SDS file / document control
2) ผูกข้อมูลในแบบเข้ากับการประเมินความเสี่ยง การอบรม การเตรียมพร้อมฉุกเฉิน และการตรวจติดตามภายใน
3) ใช้เป็นหลักฐานประกอบการตรวจประเมิน มรท.8001 ว่าองค์กรมีข้อมูลอันตรายครบ เข้าถึงได้ และสื่อสารต่อผู้ปฏิบัติงานได้จริง
4) ใช้สนับสนุนการควบคุมผู้รับเหมาและพื้นที่ที่มีการใช้สารเคมีในสถานประกอบกิจการ</v>
      </c>
      <c r="N64" s="18">
        <f t="shared" si="18"/>
        <v>1</v>
      </c>
      <c r="O64" s="18">
        <f t="shared" si="19"/>
        <v>0</v>
      </c>
      <c r="P64" s="18">
        <f t="shared" si="20"/>
        <v>0</v>
      </c>
      <c r="Q64" s="18">
        <f t="shared" si="21"/>
        <v>1</v>
      </c>
      <c r="R64" s="18">
        <f t="shared" si="22"/>
        <v>0</v>
      </c>
      <c r="S64" s="18">
        <f t="shared" si="23"/>
        <v>0</v>
      </c>
      <c r="T64" s="18">
        <f t="shared" si="24"/>
        <v>0</v>
      </c>
      <c r="U64" s="18">
        <f t="shared" si="25"/>
        <v>0</v>
      </c>
      <c r="V64" s="18">
        <f t="shared" si="26"/>
        <v>0</v>
      </c>
      <c r="W64" s="18">
        <f t="shared" si="27"/>
        <v>0</v>
      </c>
      <c r="X64" s="18" t="str">
        <f>Raw_Data_Copy!G64</f>
        <v>https://legal.labour.go.th/images/law/Safety2554/2/s_002.pdf</v>
      </c>
      <c r="Y64" s="18">
        <f>Raw_Data_Copy!D64</f>
        <v>0</v>
      </c>
      <c r="Z64" s="18" t="str">
        <f>Raw_Data_Copy!A64</f>
        <v>ประกาศกรมสวัสดิการและคุ้มครองแรงงาน</v>
      </c>
    </row>
    <row r="65" spans="1:26">
      <c r="A65" s="18">
        <v>65</v>
      </c>
      <c r="B65" s="18">
        <f>Raw_Data_Copy!B65</f>
        <v>64</v>
      </c>
      <c r="C65" s="18" t="str">
        <f>Raw_Data_Copy!E65</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และสภาพแวดล้อมในการทำงานเกี่ยวกับไฟฟ้า พ.ศ. 2558</v>
      </c>
      <c r="D65" s="18" t="str">
        <f>Raw_Data_Copy!C65</f>
        <v>กฎหมายความปลอดภัย อาชีวอนามัย และสภาพแวดล้อมในการทำงาน</v>
      </c>
      <c r="E65" s="22" t="str">
        <f>Raw_Data_Copy!F65</f>
        <v>1/20/2015</v>
      </c>
      <c r="F65" s="18" t="e">
        <f t="shared" si="14"/>
        <v>#VALUE!</v>
      </c>
      <c r="G65" s="18" t="str">
        <f t="shared" si="15"/>
        <v>1/20/2015</v>
      </c>
      <c r="H65" s="18" t="str">
        <f>Raw_Data_Copy!I65</f>
        <v>Implemented</v>
      </c>
      <c r="I65" s="18" t="str">
        <f t="shared" si="16"/>
        <v>Implemented</v>
      </c>
      <c r="J65" s="18" t="str">
        <f>Raw_Data_Copy!L65</f>
        <v>Active</v>
      </c>
      <c r="K65" s="18" t="str">
        <f t="shared" si="17"/>
        <v>Active</v>
      </c>
      <c r="L65" s="18" t="str">
        <f>Raw_Data_Copy!J65</f>
        <v>จริง</v>
      </c>
      <c r="M65" s="18" t="str">
        <f>Raw_Data_Copy!K65</f>
        <v>1) บรรจุกฎหมายฉบับนี้ไว้ใน ทะเบียนกฎหมายและข้อกำหนด ของระบบ มรท.8001
2) จัดทำหรือทบทวน Electrical Safety Procedure / Work Instruction / Lockout/Tagout (LOTO) / Permit Control หรือระบบใบอนุญาตทำงาน (Permit to Work - PTW) ให้สอดคล้องกับกฎกระทรวงนี้
3) จัด ฝึกอบรมลูกจ้างที่ปฏิบัติงานเกี่ยวกับไฟฟ้า และเก็บหลักฐานการอบรมอย่างเป็นระบบ
4) จัดทำและควบคุม Single Line Diagram / Circuit Diagram ให้เป็นปัจจุบันและตรวจสอบย้อนกลับได้
5) ตรวจสอบความพร้อมของ ป้ายเตือน ระยะปลอดภัย PPE อุปกรณ์ฉนวน เครื่องกำเนิดไฟฟ้า ระบบป้องกันฟ้าผ่า และระบบตรวจบำรุงรักษาไฟฟ้า
6) ใช้กฎหมายนี้เป็นเกณฑ์ในการ internal audit, legal compliance evaluation, contractor control, incident investigation และ corrective action โดยเฉพาะงานติดตั้ง ซ่อม ตรวจสอบ และบำรุงรักษาไฟฟ้า
7) เชื่อมโยงกับการควบคุมผู้รับเหมาไฟฟ้าและผู้ปฏิบัติงานภายนอก เพื่อป้องกันการเข้าพื้นที่เสี่ยงโดยไม่มีมาตรการควบคุมที่เหมาะสม</v>
      </c>
      <c r="N65" s="18">
        <f t="shared" si="18"/>
        <v>1</v>
      </c>
      <c r="O65" s="18">
        <f t="shared" si="19"/>
        <v>0</v>
      </c>
      <c r="P65" s="18">
        <f t="shared" si="20"/>
        <v>0</v>
      </c>
      <c r="Q65" s="18">
        <f t="shared" si="21"/>
        <v>1</v>
      </c>
      <c r="R65" s="18">
        <f t="shared" si="22"/>
        <v>0</v>
      </c>
      <c r="S65" s="18">
        <f t="shared" si="23"/>
        <v>0</v>
      </c>
      <c r="T65" s="18">
        <f t="shared" si="24"/>
        <v>0</v>
      </c>
      <c r="U65" s="18">
        <f t="shared" si="25"/>
        <v>0</v>
      </c>
      <c r="V65" s="18">
        <f t="shared" si="26"/>
        <v>0</v>
      </c>
      <c r="W65" s="18">
        <f t="shared" si="27"/>
        <v>0</v>
      </c>
      <c r="X65" s="18" t="str">
        <f>Raw_Data_Copy!G65</f>
        <v>https://legal.labour.go.th/images/law/Safety2554/2/s_005.pdf</v>
      </c>
      <c r="Y65" s="18">
        <f>Raw_Data_Copy!D65</f>
        <v>0</v>
      </c>
      <c r="Z65" s="18" t="str">
        <f>Raw_Data_Copy!A65</f>
        <v>กฎกระทรวง</v>
      </c>
    </row>
    <row r="66" spans="1:26">
      <c r="A66" s="18">
        <v>66</v>
      </c>
      <c r="B66" s="18">
        <f>Raw_Data_Copy!B66</f>
        <v>65</v>
      </c>
      <c r="C66" s="18" t="str">
        <f>Raw_Data_Copy!E66</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และสภาพแวดล้อมในการทำงานเกี่ยวกับความร้อน แสงสว่าง และเสียง พ.ศ. 2559</v>
      </c>
      <c r="D66" s="18" t="str">
        <f>Raw_Data_Copy!C66</f>
        <v>กฎหมายความปลอดภัย อาชีวอนามัย และสภาพแวดล้อมในการทำงาน</v>
      </c>
      <c r="E66" s="22" t="str">
        <f>Raw_Data_Copy!F66</f>
        <v>10/17/2013</v>
      </c>
      <c r="F66" s="18" t="e">
        <f t="shared" ref="F66:F97" si="28">IF(E66="","",YEAR(E66))</f>
        <v>#VALUE!</v>
      </c>
      <c r="G66" s="18" t="str">
        <f t="shared" ref="G66:G75" si="29">IF(E66="","",TEXT(E66,"yyyy-mm"))</f>
        <v>10/17/2013</v>
      </c>
      <c r="H66" s="18" t="str">
        <f>Raw_Data_Copy!I66</f>
        <v>Implemented</v>
      </c>
      <c r="I66" s="18" t="str">
        <f t="shared" ref="I66:I97" si="30">IF(H66="","",IF(OR(LOWER(TRIM(H66))="implemented",LOWER(TRIM(H66))="implement"),"Implemented",IF(LOWER(TRIM(H66))="identified","Identified",IF(LOWER(TRIM(H66))="evaluated","Evaluated",IF(LOWER(TRIM(H66))="under review","Under Review",H66)))))</f>
        <v>Implemented</v>
      </c>
      <c r="J66" s="18" t="str">
        <f>Raw_Data_Copy!L66</f>
        <v>Active</v>
      </c>
      <c r="K66" s="18" t="str">
        <f t="shared" ref="K66:K97" si="31">IF(J66="","",IF(LOWER(TRIM(J66))="active","Active",IF(LOWER(TRIM(J66))="inactive","Inactive",J66)))</f>
        <v>Active</v>
      </c>
      <c r="L66" s="18" t="str">
        <f>Raw_Data_Copy!J66</f>
        <v>จริง</v>
      </c>
      <c r="M66" s="18" t="str">
        <f>Raw_Data_Copy!K66</f>
        <v>1) บรรจุกฎหมายฉบับนี้ไว้ใน ทะเบียนกฎหมายและข้อกำหนด ของระบบ มรท.8001
2) จัดทำหรือทบทวน มาตรการควบคุมความร้อน แสงสว่าง และเสียง ให้ครอบคลุมทั้ง engineering control, administrative control และ PPE
3) จัดให้มี การตรวจวัดสภาวะการทำงาน ตามรอบและตามประเภทกิจการ พร้อมเก็บผลและรายงานตามที่กฎหมายกำหนด
4) จัดทำ แผนปรับปรุงเมื่อค่าตรวจวัดเกินมาตรฐาน และเก็บเอกสาร/หลักฐานไว้ตรวจสอบได้
5) จัดระบบ hearing conservation program, การตรวจสุขภาพ และการเฝ้าระวังสุขภาพแรงงานที่เกี่ยวข้อง
6) ใช้กฎหมายนี้เป็นเกณฑ์ในการ internal audit, legal compliance evaluation, corrective action, training plan และ occupational health review ของระบบ มรท.8001</v>
      </c>
      <c r="N66" s="18">
        <f t="shared" ref="N66:N75" si="32">--(I66="Implemented")</f>
        <v>1</v>
      </c>
      <c r="O66" s="18">
        <f t="shared" ref="O66:O75" si="33">--(I66="Identified")</f>
        <v>0</v>
      </c>
      <c r="P66" s="18">
        <f t="shared" ref="P66:P75" si="34">--(I66="Evaluated")</f>
        <v>0</v>
      </c>
      <c r="Q66" s="18">
        <f t="shared" ref="Q66:Q75" si="35">--(K66="Active")</f>
        <v>1</v>
      </c>
      <c r="R66" s="18">
        <f t="shared" ref="R66:R75" si="36">--(K66="Inactive")</f>
        <v>0</v>
      </c>
      <c r="S66" s="18">
        <f t="shared" ref="S66:S75" si="37">--(K66="")</f>
        <v>0</v>
      </c>
      <c r="T66" s="18">
        <f t="shared" ref="T66:T75" si="38">--(AND(K66="Active",I66&lt;&gt;"Implemented"))</f>
        <v>0</v>
      </c>
      <c r="U66" s="18">
        <f t="shared" ref="U66:U75" si="39">--(E66="")</f>
        <v>0</v>
      </c>
      <c r="V66" s="18">
        <f t="shared" ref="V66:V75" si="40">--(M66="")</f>
        <v>0</v>
      </c>
      <c r="W66" s="18">
        <f t="shared" ref="W66:W97" si="41">--(OR(U66=1,S66=1,V66=1))</f>
        <v>0</v>
      </c>
      <c r="X66" s="18" t="str">
        <f>Raw_Data_Copy!G66</f>
        <v>https://legal.labour.go.th/images/law/Safety2554/2/s_004.pdf</v>
      </c>
      <c r="Y66" s="18">
        <f>Raw_Data_Copy!D66</f>
        <v>0</v>
      </c>
      <c r="Z66" s="18" t="str">
        <f>Raw_Data_Copy!A66</f>
        <v>กฎกระทรวง</v>
      </c>
    </row>
    <row r="67" spans="1:26">
      <c r="A67" s="18">
        <v>67</v>
      </c>
      <c r="B67" s="18">
        <f>Raw_Data_Copy!B67</f>
        <v>66</v>
      </c>
      <c r="C67" s="18" t="str">
        <f>Raw_Data_Copy!E67</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และสภาพแวดล้อมในการทำงานเกี่ยวกับที่อับอากาศ พ.ศ. 2562</v>
      </c>
      <c r="D67" s="18" t="str">
        <f>Raw_Data_Copy!C67</f>
        <v>กฎหมายความปลอดภัย อาชีวอนามัย และสภาพแวดล้อมในการทำงาน</v>
      </c>
      <c r="E67" s="22" t="str">
        <f>Raw_Data_Copy!F67</f>
        <v>2/15/2019</v>
      </c>
      <c r="F67" s="18" t="e">
        <f t="shared" si="28"/>
        <v>#VALUE!</v>
      </c>
      <c r="G67" s="18" t="str">
        <f t="shared" si="29"/>
        <v>2/15/2019</v>
      </c>
      <c r="H67" s="18" t="str">
        <f>Raw_Data_Copy!I67</f>
        <v>Implemented</v>
      </c>
      <c r="I67" s="18" t="str">
        <f t="shared" si="30"/>
        <v>Implemented</v>
      </c>
      <c r="J67" s="18" t="str">
        <f>Raw_Data_Copy!L67</f>
        <v>Active</v>
      </c>
      <c r="K67" s="18" t="str">
        <f t="shared" si="31"/>
        <v>Active</v>
      </c>
      <c r="L67" s="18" t="str">
        <f>Raw_Data_Copy!J67</f>
        <v>จริง</v>
      </c>
      <c r="M67" s="18" t="str">
        <f>Raw_Data_Copy!K67</f>
        <v>1) บรรจุกฎหมายฉบับนี้ไว้ใน ทะเบียนกฎหมายและข้อกำหนด ของระบบ มรท.8001
2) จัดทำ Confined Space Procedure / Permit to Work / Rescue Plan / Emergency Plan ให้ครบถ้วน
3) ระบุและขึ้นทะเบียน พื้นที่อับอากาศ ทุกจุดในสถานประกอบกิจการ พร้อมติดป้ายเตือนให้ชัดเจน
4) จัดทำ การประเมินสภาพอันตรายและการตรวจวัดบรรยากาศ ก่อนเข้าและระหว่างทำงาน พร้อมเก็บบันทึกอย่างเป็นระบบ
แต่งตั้งและอบรม ผู้อนุญาต ผู้ควบคุมงาน ผู้ช่วยเหลือ และผู้ปฏิบัติงาน ให้ตรงตามบทบาท
5) ควบคุม PPE, rescue equipment, communication device, fire protection, isolation/lockout และการปิดกั้นพลังงานหรือสารอันตรายจากภายนอก
6) ใช้กฎหมายนี้เป็นเกณฑ์ในการ internal audit, legal compliance evaluation, risk assessment, contractor control, corrective action และ emergency drill review ของระบบ มรท.8001</v>
      </c>
      <c r="N67" s="18">
        <f t="shared" si="32"/>
        <v>1</v>
      </c>
      <c r="O67" s="18">
        <f t="shared" si="33"/>
        <v>0</v>
      </c>
      <c r="P67" s="18">
        <f t="shared" si="34"/>
        <v>0</v>
      </c>
      <c r="Q67" s="18">
        <f t="shared" si="35"/>
        <v>1</v>
      </c>
      <c r="R67" s="18">
        <f t="shared" si="36"/>
        <v>0</v>
      </c>
      <c r="S67" s="18">
        <f t="shared" si="37"/>
        <v>0</v>
      </c>
      <c r="T67" s="18">
        <f t="shared" si="38"/>
        <v>0</v>
      </c>
      <c r="U67" s="18">
        <f t="shared" si="39"/>
        <v>0</v>
      </c>
      <c r="V67" s="18">
        <f t="shared" si="40"/>
        <v>0</v>
      </c>
      <c r="W67" s="18">
        <f t="shared" si="41"/>
        <v>0</v>
      </c>
      <c r="X67" s="18" t="str">
        <f>Raw_Data_Copy!G67</f>
        <v>https://legal.labour.go.th/images/law/Safety2554/2/s_00062.pdf</v>
      </c>
      <c r="Y67" s="18">
        <f>Raw_Data_Copy!D67</f>
        <v>0</v>
      </c>
      <c r="Z67" s="18" t="str">
        <f>Raw_Data_Copy!A67</f>
        <v>กฎกระทรวง</v>
      </c>
    </row>
    <row r="68" spans="1:26">
      <c r="A68" s="18">
        <v>68</v>
      </c>
      <c r="B68" s="18">
        <f>Raw_Data_Copy!B68</f>
        <v>67</v>
      </c>
      <c r="C68" s="18" t="str">
        <f>Raw_Data_Copy!E68</f>
        <v>กฎกระทรวง กำหนดมาตรฐานการตรวจสุขภาพลูกจ้างซึ่งทำงานเกี่ยวกับปัจจัยเสี่ยง พ.ศ. 2563</v>
      </c>
      <c r="D68" s="18" t="str">
        <f>Raw_Data_Copy!C68</f>
        <v>กฎหมายความปลอดภัย อาชีวอนามัย และสภาพแวดล้อมในการทำงาน</v>
      </c>
      <c r="E68" s="22">
        <f>Raw_Data_Copy!F68</f>
        <v>43961</v>
      </c>
      <c r="F68" s="18">
        <f t="shared" si="28"/>
        <v>2020</v>
      </c>
      <c r="G68" s="18" t="str">
        <f t="shared" si="29"/>
        <v>2020-05</v>
      </c>
      <c r="H68" s="18" t="str">
        <f>Raw_Data_Copy!I68</f>
        <v>Implemented</v>
      </c>
      <c r="I68" s="18" t="str">
        <f t="shared" si="30"/>
        <v>Implemented</v>
      </c>
      <c r="J68" s="18" t="str">
        <f>Raw_Data_Copy!L68</f>
        <v>Active</v>
      </c>
      <c r="K68" s="18" t="str">
        <f t="shared" si="31"/>
        <v>Active</v>
      </c>
      <c r="L68" s="18" t="str">
        <f>Raw_Data_Copy!J68</f>
        <v>จริง</v>
      </c>
      <c r="M68" s="18" t="str">
        <f>Raw_Data_Copy!K68</f>
        <v>1) บรรจุกฎหมายฉบับนี้ไว้ใน ทะเบียนกฎหมายและข้อกำหนด ของระบบ มรท.8001
2) ระบุให้ชัดว่าตำแหน่ง/งานใดเป็น งานเกี่ยวกับปัจจัยเสี่ยง
3) จัดทำ แผนตรวจสุขภาพตามปัจจัยเสี่ยง ตั้งแต่ก่อนเริ่มงาน ระหว่างงาน เปลี่ยนงาน และกลับเข้าทำงาน
4) ควบคุม รายชื่อพนักงานกลุ่มเสี่ยง, สมุดสุขภาพประจำตัว, บันทึกผลตรวจ, ระยะเวลาเก็บรักษาเอกสาร, และระบบแจ้งผลตรวจ
5) กำหนดขั้นตอน จัดงานให้เหมาะสม / fit to work /กลับมาทำงาน / return to work / การเปลี่ยนงาน / job transfer สำหรับลูกจ้างที่มีข้อจำกัดด้านสุขภาพ
6) ใช้กฎหมายนี้เป็นเกณฑ์ในการ internal audit, legal compliance evaluation, occupational health review และ corrective action
7) เชื่อมโยงกับการประเมินความเสี่ยงจากสารเคมี เสียง ความร้อน แสง รังสี ฝุ่น และปัจจัยคุกคามอื่นในสถานประกอบกิจการ เพื่อให้การตรวจสุขภาพสอดคล้องกับความเสี่ยงจริง</v>
      </c>
      <c r="N68" s="18">
        <f t="shared" si="32"/>
        <v>1</v>
      </c>
      <c r="O68" s="18">
        <f t="shared" si="33"/>
        <v>0</v>
      </c>
      <c r="P68" s="18">
        <f t="shared" si="34"/>
        <v>0</v>
      </c>
      <c r="Q68" s="18">
        <f t="shared" si="35"/>
        <v>1</v>
      </c>
      <c r="R68" s="18">
        <f t="shared" si="36"/>
        <v>0</v>
      </c>
      <c r="S68" s="18">
        <f t="shared" si="37"/>
        <v>0</v>
      </c>
      <c r="T68" s="18">
        <f t="shared" si="38"/>
        <v>0</v>
      </c>
      <c r="U68" s="18">
        <f t="shared" si="39"/>
        <v>0</v>
      </c>
      <c r="V68" s="18">
        <f t="shared" si="40"/>
        <v>0</v>
      </c>
      <c r="W68" s="18">
        <f t="shared" si="41"/>
        <v>0</v>
      </c>
      <c r="X68" s="18" t="str">
        <f>Raw_Data_Copy!G68</f>
        <v>https://legal.labour.go.th/images/law/Safety2554/2/s_0030.pdf</v>
      </c>
      <c r="Y68" s="18">
        <f>Raw_Data_Copy!D68</f>
        <v>0</v>
      </c>
      <c r="Z68" s="18" t="str">
        <f>Raw_Data_Copy!A68</f>
        <v>กฎกระทรวง</v>
      </c>
    </row>
    <row r="69" spans="1:26">
      <c r="A69" s="18">
        <v>69</v>
      </c>
      <c r="B69" s="18">
        <f>Raw_Data_Copy!B69</f>
        <v>68</v>
      </c>
      <c r="C69" s="18" t="str">
        <f>Raw_Data_Copy!E69</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และสภาพแวดล้อมในการทำงานเกี่ยวกับนั่งร้านและค้ำยัน พ.ศ. 2564</v>
      </c>
      <c r="D69" s="18" t="str">
        <f>Raw_Data_Copy!C69</f>
        <v>กฎหมายความปลอดภัย อาชีวอนามัย และสภาพแวดล้อมในการทำงาน</v>
      </c>
      <c r="E69" s="22">
        <f>Raw_Data_Copy!F69</f>
        <v>44199</v>
      </c>
      <c r="F69" s="18">
        <f t="shared" si="28"/>
        <v>2021</v>
      </c>
      <c r="G69" s="18" t="str">
        <f t="shared" si="29"/>
        <v>2021-01</v>
      </c>
      <c r="H69" s="18" t="str">
        <f>Raw_Data_Copy!I69</f>
        <v>Implemented</v>
      </c>
      <c r="I69" s="18" t="str">
        <f t="shared" si="30"/>
        <v>Implemented</v>
      </c>
      <c r="J69" s="18" t="str">
        <f>Raw_Data_Copy!L69</f>
        <v>Active</v>
      </c>
      <c r="K69" s="18" t="str">
        <f t="shared" si="31"/>
        <v>Active</v>
      </c>
      <c r="L69" s="18" t="str">
        <f>Raw_Data_Copy!J69</f>
        <v>จริง</v>
      </c>
      <c r="M69" s="18" t="str">
        <f>Raw_Data_Copy!K69</f>
        <v>1) บรรจุกฎหมายฉบับนี้ไว้ใน ทะเบียนกฎหมายและข้อกำหนด ของระบบ มรท.8001
2) จัดทำ Scaffold / Shoring Procedure, วิธีปฏิบัติงาน, ข้อบังคับ, และแบบฟอร์มตรวจสอบก่อนใช้งานให้ครบถ้วน
3) ควบคุมให้มี วิศวกรคำนวณ ออกแบบ และควบคุม ในกรณีที่กฎหมายกำหนด
4) จัดทำระบบ inspection ก่อนใช้งาน ระหว่างใช้งาน และการซ่อมแซมปรับปรุง พร้อมบันทึกผล
5) ควบคุม เขตอันตราย ป้ายเตือน การกั้นพื้นที่ วัสดุตกหล่น และผู้ไม่เกี่ยวข้อง ให้เป็นรูปธรรม
7) อบรมลูกจ้างและผู้รับเหมาเกี่ยวกับ การใช้นั่งร้าน ค้ำยัน PPE และข้อห้ามในสภาพอากาศ/สภาพงานที่ไม่ปลอดภัย
8) ใช้กฎหมายนี้เป็นเกณฑ์ในการ internal audit, legal compliance evaluation, contractor control, work-at-height review และ corrective action ของระบบ มรท.8001</v>
      </c>
      <c r="N69" s="18">
        <f t="shared" si="32"/>
        <v>1</v>
      </c>
      <c r="O69" s="18">
        <f t="shared" si="33"/>
        <v>0</v>
      </c>
      <c r="P69" s="18">
        <f t="shared" si="34"/>
        <v>0</v>
      </c>
      <c r="Q69" s="18">
        <f t="shared" si="35"/>
        <v>1</v>
      </c>
      <c r="R69" s="18">
        <f t="shared" si="36"/>
        <v>0</v>
      </c>
      <c r="S69" s="18">
        <f t="shared" si="37"/>
        <v>0</v>
      </c>
      <c r="T69" s="18">
        <f t="shared" si="38"/>
        <v>0</v>
      </c>
      <c r="U69" s="18">
        <f t="shared" si="39"/>
        <v>0</v>
      </c>
      <c r="V69" s="18">
        <f t="shared" si="40"/>
        <v>0</v>
      </c>
      <c r="W69" s="18">
        <f t="shared" si="41"/>
        <v>0</v>
      </c>
      <c r="X69" s="18" t="str">
        <f>Raw_Data_Copy!G69</f>
        <v>https://legal.labour.go.th/images/law/Safety2554/2/T_0011.pdf</v>
      </c>
      <c r="Y69" s="18">
        <f>Raw_Data_Copy!D69</f>
        <v>0</v>
      </c>
      <c r="Z69" s="18" t="str">
        <f>Raw_Data_Copy!A69</f>
        <v>กฎกระทรวง</v>
      </c>
    </row>
    <row r="70" spans="1:26">
      <c r="A70" s="18">
        <v>70</v>
      </c>
      <c r="B70" s="18">
        <f>Raw_Data_Copy!B70</f>
        <v>69</v>
      </c>
      <c r="C70" s="18" t="str">
        <f>Raw_Data_Copy!E70</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 ในสถานที่ที่มีอันตรายจากการตกจากที่สูงและที่ลาดชัน จากวัสดุกระเด็น ตกหล่น และพังทลาย และจากการตกลงไปในภาชนะเก็บหรือรองรับวัสดุ พ.ศ. 2564</v>
      </c>
      <c r="D70" s="18" t="str">
        <f>Raw_Data_Copy!C70</f>
        <v>กฎหมายความปลอดภัย อาชีวอนามัย และสภาพแวดล้อมในการทำงาน</v>
      </c>
      <c r="E70" s="22">
        <f>Raw_Data_Copy!F70</f>
        <v>44230</v>
      </c>
      <c r="F70" s="18">
        <f t="shared" si="28"/>
        <v>2021</v>
      </c>
      <c r="G70" s="18" t="str">
        <f t="shared" si="29"/>
        <v>2021-02</v>
      </c>
      <c r="H70" s="18" t="str">
        <f>Raw_Data_Copy!I70</f>
        <v>Implemented</v>
      </c>
      <c r="I70" s="18" t="str">
        <f t="shared" si="30"/>
        <v>Implemented</v>
      </c>
      <c r="J70" s="18" t="str">
        <f>Raw_Data_Copy!L70</f>
        <v>Active</v>
      </c>
      <c r="K70" s="18" t="str">
        <f t="shared" si="31"/>
        <v>Active</v>
      </c>
      <c r="L70" s="18" t="str">
        <f>Raw_Data_Copy!J70</f>
        <v>จริง</v>
      </c>
      <c r="M70" s="18" t="str">
        <f>Raw_Data_Copy!K70</f>
        <v>1) บรรจุกฎหมายฉบับนี้ไว้ใน ทะเบียนกฎหมาย ตามข้อกำหนด มรท.8001 ข้อ 4.1.6
2) จัดทำ Work at Height Procedure / Fall Protection Procedure / Material Falling Prevention Procedure ให้ครอบคลุมลักษณะงานตามกฎกระทรวงนี้
3) จัดให้มี การระบุอันตราย การประเมินความเสี่ยง การวางแผนงาน และมาตรการควบคุม ก่อนเริ่มงานทุกครั้ง
4) ควบคุม PPE, จุดยึดตรึง, ราวกันตก, ตาข่ายนิรภัย, บันได, นั่งร้าน, เขตอันตราย และป้ายเตือน ให้พร้อมใช้งานและตรวจสอบได้
5) ใช้กฎหมายนี้เป็นเกณฑ์ในการ internal audit, legal compliance evaluation, contractor control, work-at-height permit review, corrective action และ toolbox talk
6) ทบทวนความเชื่อมโยงกับงานก่อสร้าง งานซ่อมบำรุง งานลำเลียงวัสดุ และงานใกล้ถัง/บ่อ เพื่อป้องกันอุบัติเหตุจากการตก การถูกวัสดุหล่นใส่ และการพังทลายของโครงสร้างหรือกองวัสดุ</v>
      </c>
      <c r="N70" s="18">
        <f t="shared" si="32"/>
        <v>1</v>
      </c>
      <c r="O70" s="18">
        <f t="shared" si="33"/>
        <v>0</v>
      </c>
      <c r="P70" s="18">
        <f t="shared" si="34"/>
        <v>0</v>
      </c>
      <c r="Q70" s="18">
        <f t="shared" si="35"/>
        <v>1</v>
      </c>
      <c r="R70" s="18">
        <f t="shared" si="36"/>
        <v>0</v>
      </c>
      <c r="S70" s="18">
        <f t="shared" si="37"/>
        <v>0</v>
      </c>
      <c r="T70" s="18">
        <f t="shared" si="38"/>
        <v>0</v>
      </c>
      <c r="U70" s="18">
        <f t="shared" si="39"/>
        <v>0</v>
      </c>
      <c r="V70" s="18">
        <f t="shared" si="40"/>
        <v>0</v>
      </c>
      <c r="W70" s="18">
        <f t="shared" si="41"/>
        <v>0</v>
      </c>
      <c r="X70" s="18" t="str">
        <f>Raw_Data_Copy!G70</f>
        <v>https://legal.labour.go.th/images/law/Safety2554/2/S_0051.pdf</v>
      </c>
      <c r="Y70" s="18">
        <f>Raw_Data_Copy!D70</f>
        <v>0</v>
      </c>
      <c r="Z70" s="18" t="str">
        <f>Raw_Data_Copy!A70</f>
        <v>กฎกระทรวง</v>
      </c>
    </row>
    <row r="71" spans="1:26">
      <c r="A71" s="18">
        <v>71</v>
      </c>
      <c r="B71" s="18">
        <f>Raw_Data_Copy!B71</f>
        <v>70</v>
      </c>
      <c r="C71" s="18" t="str">
        <f>Raw_Data_Copy!E71</f>
        <v>กฎกระทรวง กำหนดมาตรฐานในการบริหาร จัดการ และดำเนินการด้านความปลอดภัย อาชีวอนามัย และสภาพแวดล้อมในการทำงานเกี่ยวกับเครื่องจักร ปั้นจั่น และหม้อน้ำ พ.ศ. 2564</v>
      </c>
      <c r="D71" s="18" t="str">
        <f>Raw_Data_Copy!C71</f>
        <v>กฎหมายความปลอดภัย อาชีวอนามัย และสภาพแวดล้อมในการทำงาน</v>
      </c>
      <c r="E71" s="22">
        <f>Raw_Data_Copy!F71</f>
        <v>44355</v>
      </c>
      <c r="F71" s="18">
        <f t="shared" si="28"/>
        <v>2021</v>
      </c>
      <c r="G71" s="18" t="str">
        <f t="shared" si="29"/>
        <v>2021-06</v>
      </c>
      <c r="H71" s="18" t="str">
        <f>Raw_Data_Copy!I71</f>
        <v>Implemented</v>
      </c>
      <c r="I71" s="18" t="str">
        <f t="shared" si="30"/>
        <v>Implemented</v>
      </c>
      <c r="J71" s="18" t="str">
        <f>Raw_Data_Copy!L71</f>
        <v>Active</v>
      </c>
      <c r="K71" s="18" t="str">
        <f t="shared" si="31"/>
        <v>Active</v>
      </c>
      <c r="L71" s="18" t="str">
        <f>Raw_Data_Copy!J71</f>
        <v>จริง</v>
      </c>
      <c r="M71" s="18" t="str">
        <f>Raw_Data_Copy!K71</f>
        <v>1) บรรจุกฎหมายฉบับนี้ไว้ใน ทะเบียนกฎหมายตามข้อกำหนด มรท.8001 ข้อ 4.1.6
2) จัดทำหรือทบทวน Machine Safety Procedure, Crane/Lifting Procedure, Forklift Procedure, Lift Procedure, Boiler &amp; Pressure Vessel Procedure, Welding Safety Procedure ให้สอดคล้องกับข้อกำหนดใหม่
3) ควบคุมให้มี คู่มือใช้งาน รายละเอียดคุณลักษณะ การตรวจสอบ การทดสอบ และเอกสารรับรองโดยวิศวกร ตามกรณีที่กฎหมายกำหนด
4) จัดให้มี การอบรมเฉพาะบทบาท เช่น ผู้ขับรถยก ผู้บังคับปั้นจั่น ผู้ให้สัญญาณ ผู้ยึดเกาะวัสดุ ผู้ควบคุมหม้อน้ำ ผู้ปฏิบัติงานเครื่องเชื่อม และผู้ทำงานกับเครื่องจักรอันตราย
5) วางระบบ inspection / maintenance / annual testing / notification / record retention สำหรับเครื่องจักร ปั้นจั่น ลิฟต์ รอก หม้อน้ำ และภาชนะรับความดัน
6) จัดทำ lifting plan / risk assessment / hazard identification / lockout-tagout / emergency response / confined space linkage ตามลักษณะงาน
7) ใช้กฎหมายฉบับนี้เป็นเกณฑ์ในการ internal audit, legal compliance evaluation, contractor control, permit review, incident investigation และ corrective action ของระบบ มรท.8001</v>
      </c>
      <c r="N71" s="18">
        <f t="shared" si="32"/>
        <v>1</v>
      </c>
      <c r="O71" s="18">
        <f t="shared" si="33"/>
        <v>0</v>
      </c>
      <c r="P71" s="18">
        <f t="shared" si="34"/>
        <v>0</v>
      </c>
      <c r="Q71" s="18">
        <f t="shared" si="35"/>
        <v>1</v>
      </c>
      <c r="R71" s="18">
        <f t="shared" si="36"/>
        <v>0</v>
      </c>
      <c r="S71" s="18">
        <f t="shared" si="37"/>
        <v>0</v>
      </c>
      <c r="T71" s="18">
        <f t="shared" si="38"/>
        <v>0</v>
      </c>
      <c r="U71" s="18">
        <f t="shared" si="39"/>
        <v>0</v>
      </c>
      <c r="V71" s="18">
        <f t="shared" si="40"/>
        <v>0</v>
      </c>
      <c r="W71" s="18">
        <f t="shared" si="41"/>
        <v>0</v>
      </c>
      <c r="X71" s="18" t="str">
        <f>Raw_Data_Copy!G71</f>
        <v>https://legal.labour.go.th/images/law/Safety2554/2/S_0038.pdf</v>
      </c>
      <c r="Y71" s="18">
        <f>Raw_Data_Copy!D71</f>
        <v>0</v>
      </c>
      <c r="Z71" s="18" t="str">
        <f>Raw_Data_Copy!A71</f>
        <v>กฎกระทรวง</v>
      </c>
    </row>
    <row r="72" spans="1:26">
      <c r="A72" s="18">
        <v>72</v>
      </c>
      <c r="B72" s="18">
        <f>Raw_Data_Copy!B72</f>
        <v>71</v>
      </c>
      <c r="C72" s="18" t="str">
        <f>Raw_Data_Copy!E72</f>
        <v>กฎกระทรวง กำหนดมาตรฐานการทำงานเกี่ยวกับรังสี พ.ศ. 2564</v>
      </c>
      <c r="D72" s="18" t="str">
        <f>Raw_Data_Copy!C72</f>
        <v>กฎหมายความปลอดภัย อาชีวอนามัย และสภาพแวดล้อมในการทำงาน</v>
      </c>
      <c r="E72" s="22">
        <f>Raw_Data_Copy!F72</f>
        <v>44267</v>
      </c>
      <c r="F72" s="18">
        <f t="shared" si="28"/>
        <v>2021</v>
      </c>
      <c r="G72" s="18" t="str">
        <f t="shared" si="29"/>
        <v>2021-03</v>
      </c>
      <c r="H72" s="18" t="str">
        <f>Raw_Data_Copy!I72</f>
        <v>Implemented</v>
      </c>
      <c r="I72" s="18" t="str">
        <f t="shared" si="30"/>
        <v>Implemented</v>
      </c>
      <c r="J72" s="18" t="str">
        <f>Raw_Data_Copy!L72</f>
        <v>Active</v>
      </c>
      <c r="K72" s="18" t="str">
        <f t="shared" si="31"/>
        <v>Active</v>
      </c>
      <c r="L72" s="18" t="str">
        <f>Raw_Data_Copy!J72</f>
        <v>จริง</v>
      </c>
      <c r="M72" s="18" t="str">
        <f>Raw_Data_Copy!K72</f>
        <v>1) บรรจุกฎหมายฉบับนี้ไว้ใน ทะเบียนกฎหมายและข้อกำหนด มรท.8001 ข้อ 4.1.6
2) จัดทำ Radiation Safety Procedure, ข้อบังคับการทำงาน, แนวปฏิบัติ, และเอกสารแจ้งเตือนหลายภาษาให้เหมาะกับแรงงานในพื้นที่
3) ระบุและควบคุม พื้นที่ควบคุม (Controlled Area) ให้ชัดเจน พร้อมระบบอนุญาตเข้าออกและการสื่อสารข้อห้าม
4) จัดทำระบบ dose monitoring, การเก็บข้อมูลปริมาณรังสีสะสม, การแจ้งผลให้ลูกจ้าง, และการรายงานกรณีเกินเกณฑ์
5) แต่งตั้งและกำหนดบทบาทของ เจ้าหน้าที่ความปลอดภัยทางรังสี/เจ้าหน้าที่เทคนิค/จป.หัวหน้างาน ให้ครบตามประเภทต้นกำเนิดรังสี
6) จัดทำ Emergency Response Plan และฝึกซ้อมอย่างน้อยปีละ ๑ ครั้ง พร้อมทดสอบสัญญาณฉุกเฉินตามรอบกฎหมาย
7) ควบคุม PPE, personal dosimeter, hygiene facility, decontamination, radioactive waste handling และการหยุดงานเมื่อพบการไม่ปฏิบัติตาม
8) ใช้กฎหมายนี้เป็นเกณฑ์ในการ internal audit, legal compliance evaluation, occupational health review, contractor control, incident response และ corrective action ของระบบ มรท.8001</v>
      </c>
      <c r="N72" s="18">
        <f t="shared" si="32"/>
        <v>1</v>
      </c>
      <c r="O72" s="18">
        <f t="shared" si="33"/>
        <v>0</v>
      </c>
      <c r="P72" s="18">
        <f t="shared" si="34"/>
        <v>0</v>
      </c>
      <c r="Q72" s="18">
        <f t="shared" si="35"/>
        <v>1</v>
      </c>
      <c r="R72" s="18">
        <f t="shared" si="36"/>
        <v>0</v>
      </c>
      <c r="S72" s="18">
        <f t="shared" si="37"/>
        <v>0</v>
      </c>
      <c r="T72" s="18">
        <f t="shared" si="38"/>
        <v>0</v>
      </c>
      <c r="U72" s="18">
        <f t="shared" si="39"/>
        <v>0</v>
      </c>
      <c r="V72" s="18">
        <f t="shared" si="40"/>
        <v>0</v>
      </c>
      <c r="W72" s="18">
        <f t="shared" si="41"/>
        <v>0</v>
      </c>
      <c r="X72" s="18" t="str">
        <f>Raw_Data_Copy!G72</f>
        <v>https://legal.labour.go.th/images/law/Safety2554/2/T_0016.pdf</v>
      </c>
      <c r="Y72" s="18">
        <f>Raw_Data_Copy!D72</f>
        <v>0</v>
      </c>
      <c r="Z72" s="18" t="str">
        <f>Raw_Data_Copy!A72</f>
        <v>กฎกระทรวง</v>
      </c>
    </row>
    <row r="73" spans="1:26">
      <c r="A73" s="18">
        <v>73</v>
      </c>
      <c r="B73" s="18">
        <f>Raw_Data_Copy!B73</f>
        <v>72</v>
      </c>
      <c r="C73" s="18" t="str">
        <f>Raw_Data_Copy!E73</f>
        <v>กฎกระทรวง การจัดให้มีเจ้าหน้าที่ความปลอดภัยในการทำงาน บุคลากร หน่วยงาน หรือคณะบุคคลเพื่อดำเนินการด้านความปลอดภัยในสถานประกอบกิจการ พ.ศ. 2565</v>
      </c>
      <c r="D73" s="18" t="str">
        <f>Raw_Data_Copy!C73</f>
        <v>กฎหมายความปลอดภัย อาชีวอนามัย และสภาพแวดล้อมในการทำงาน</v>
      </c>
      <c r="E73" s="22" t="str">
        <f>Raw_Data_Copy!F73</f>
        <v>6/17/2024</v>
      </c>
      <c r="F73" s="18" t="e">
        <f t="shared" si="28"/>
        <v>#VALUE!</v>
      </c>
      <c r="G73" s="18" t="str">
        <f t="shared" si="29"/>
        <v>6/17/2024</v>
      </c>
      <c r="H73" s="18" t="str">
        <f>Raw_Data_Copy!I73</f>
        <v>Implemented</v>
      </c>
      <c r="I73" s="18" t="str">
        <f t="shared" si="30"/>
        <v>Implemented</v>
      </c>
      <c r="J73" s="18" t="str">
        <f>Raw_Data_Copy!L73</f>
        <v>Active</v>
      </c>
      <c r="K73" s="18" t="str">
        <f t="shared" si="31"/>
        <v>Active</v>
      </c>
      <c r="L73" s="18" t="str">
        <f>Raw_Data_Copy!J73</f>
        <v>จริง</v>
      </c>
      <c r="M73" s="18" t="str">
        <f>Raw_Data_Copy!K73</f>
        <v>1) ทบทวนว่าองค์กรอยู่ใน บัญชี 1, 2 หรือ 3 และมีจำนวนลูกจ้างถึงเกณฑ์ใด เพื่อกำหนดว่าต้องมี จป.ระดับใด คณะกรรมการความปลอดภัย หรือหน่วยงานความปลอดภัยหรือไม่
2) จัดทำ โครงสร้างบทบาทหน้าที่ด้านความปลอดภัย ให้ชัดเจน เช่น จป.หัวหน้างาน จป.บริหาร จป.วิชาชีพ คณะกรรมการความปลอดภัย และผู้บริหารหน่วยงานความปลอดภัย
3) จัดทำ/ปรับปรุง Job Description, Appointment Letter, Training Matrix, Competency Record, Registration Record, Meeting Record, Safety Report ให้ครบถ้วน
4) ใช้ข้อกำหนดนี้เชื่อมกับ นโยบายด้านความปลอดภัย การประเมินความเสี่ยง การอบรม การสอบสวนอุบัติเหตุ การติดตามผล และการทบทวนฝ่ายบริหาร
5) บรรจุประเด็นนี้ไว้ใน internal audit / legal compliance evaluation / management review เพราะเป็นข้อกำหนดเชิงระบบที่ตรวจพบได้ชัดจากเอกสารและหลักฐานการดำเนินงาน
6) สำหรับ มรท.8001 ข้อกำหนดนี้ช่วยเสริมมิติ Leadership, Responsibility, Worker Participation, Training, Documented Information, Compliance Evaluation และ Continual Improvement ได้อย่างชัดเจน</v>
      </c>
      <c r="N73" s="18">
        <f t="shared" si="32"/>
        <v>1</v>
      </c>
      <c r="O73" s="18">
        <f t="shared" si="33"/>
        <v>0</v>
      </c>
      <c r="P73" s="18">
        <f t="shared" si="34"/>
        <v>0</v>
      </c>
      <c r="Q73" s="18">
        <f t="shared" si="35"/>
        <v>1</v>
      </c>
      <c r="R73" s="18">
        <f t="shared" si="36"/>
        <v>0</v>
      </c>
      <c r="S73" s="18">
        <f t="shared" si="37"/>
        <v>0</v>
      </c>
      <c r="T73" s="18">
        <f t="shared" si="38"/>
        <v>0</v>
      </c>
      <c r="U73" s="18">
        <f t="shared" si="39"/>
        <v>0</v>
      </c>
      <c r="V73" s="18">
        <f t="shared" si="40"/>
        <v>0</v>
      </c>
      <c r="W73" s="18">
        <f t="shared" si="41"/>
        <v>0</v>
      </c>
      <c r="X73" s="18" t="str">
        <f>Raw_Data_Copy!G73</f>
        <v>https://legal.labour.go.th/images/law/Safety2554/2/T_00091.pdf</v>
      </c>
      <c r="Y73" s="18">
        <f>Raw_Data_Copy!D73</f>
        <v>0</v>
      </c>
      <c r="Z73" s="18" t="str">
        <f>Raw_Data_Copy!A73</f>
        <v>กฎกระทรวง</v>
      </c>
    </row>
    <row r="74" spans="1:26">
      <c r="A74" s="18">
        <v>74</v>
      </c>
      <c r="B74" s="18">
        <f>Raw_Data_Copy!B74</f>
        <v>73</v>
      </c>
      <c r="C74" s="18" t="str">
        <f>Raw_Data_Copy!E74</f>
        <v>กฎกระทรวง กำหนดมาตรฐานเกี่ยวกับระบบการจัดการด้านความปลอดภัย พ.ศ. 2565</v>
      </c>
      <c r="D74" s="18" t="str">
        <f>Raw_Data_Copy!C74</f>
        <v>กฎหมายความปลอดภัย อาชีวอนามัย และสภาพแวดล้อมในการทำงาน</v>
      </c>
      <c r="E74" s="22">
        <f>Raw_Data_Copy!F74</f>
        <v>44869</v>
      </c>
      <c r="F74" s="18">
        <f t="shared" si="28"/>
        <v>2022</v>
      </c>
      <c r="G74" s="18" t="str">
        <f t="shared" si="29"/>
        <v>2022-11</v>
      </c>
      <c r="H74" s="18" t="str">
        <f>Raw_Data_Copy!I74</f>
        <v>Implemented</v>
      </c>
      <c r="I74" s="18" t="str">
        <f t="shared" si="30"/>
        <v>Implemented</v>
      </c>
      <c r="J74" s="18" t="str">
        <f>Raw_Data_Copy!L74</f>
        <v>Active</v>
      </c>
      <c r="K74" s="18" t="str">
        <f t="shared" si="31"/>
        <v>Active</v>
      </c>
      <c r="L74" s="18" t="str">
        <f>Raw_Data_Copy!J74</f>
        <v>จริง</v>
      </c>
      <c r="M74" s="18" t="str">
        <f>Raw_Data_Copy!K74</f>
        <v>1) ตรวจสอบก่อนว่าองค์กรอยู่ใน บัญชีท้ายกฎกระทรวง และมีลูกจ้างถึงเกณฑ์ 50 คนขึ้นไปหรือไม่
2) จัดทำหรือทบทวน นโยบายความปลอดภัย, โครงสร้างความรับผิดชอบ, แผนงาน OHS, ระบบติดตามผล, การทบทวนฝ่ายบริหาร, และ กลไกรับข้อเสนอแนะ/ข้อร้องเรียน ให้เชื่อมโยงเป็นระบบเดียวกัน
3) จัดทำ เอกสารระบบ, บันทึกการทบทวน, แผนปฏิบัติการ, หลักฐานการสื่อสารและการมีส่วนร่วมของลูกจ้าง, และ หลักฐานการปรับปรุงระบบ ให้ตรวจสอบได้
4) ผูกกฎหมายฉบับนี้เข้ากับ internal audit, legal compliance evaluation, management review, corrective action และ continual improvement ในระบบ มรท.8001
5) หากองค์กรใช้ ISO 45001 หรือมาตรฐานเทียบเท่าอยู่แล้ว ควรตรวจเทียบช่องว่างกับข้อกำหนดของกฎกระทรวงนี้ เพื่อใช้เป็นหลักฐานรองรับความสอดคล้องทางกฎหมายให้ชัดเจนขึ้น</v>
      </c>
      <c r="N74" s="18">
        <f t="shared" si="32"/>
        <v>1</v>
      </c>
      <c r="O74" s="18">
        <f t="shared" si="33"/>
        <v>0</v>
      </c>
      <c r="P74" s="18">
        <f t="shared" si="34"/>
        <v>0</v>
      </c>
      <c r="Q74" s="18">
        <f t="shared" si="35"/>
        <v>1</v>
      </c>
      <c r="R74" s="18">
        <f t="shared" si="36"/>
        <v>0</v>
      </c>
      <c r="S74" s="18">
        <f t="shared" si="37"/>
        <v>0</v>
      </c>
      <c r="T74" s="18">
        <f t="shared" si="38"/>
        <v>0</v>
      </c>
      <c r="U74" s="18">
        <f t="shared" si="39"/>
        <v>0</v>
      </c>
      <c r="V74" s="18">
        <f t="shared" si="40"/>
        <v>0</v>
      </c>
      <c r="W74" s="18">
        <f t="shared" si="41"/>
        <v>0</v>
      </c>
      <c r="X74" s="18" t="str">
        <f>Raw_Data_Copy!G74</f>
        <v>https://legal.labour.go.th/images/law/Safety2554/2/T_0015.pdf</v>
      </c>
      <c r="Y74" s="18">
        <f>Raw_Data_Copy!D74</f>
        <v>0</v>
      </c>
      <c r="Z74" s="18" t="str">
        <f>Raw_Data_Copy!A74</f>
        <v>กฎกระทรวง</v>
      </c>
    </row>
    <row r="75" spans="1:26">
      <c r="A75" s="18">
        <v>75</v>
      </c>
      <c r="B75" s="18">
        <f>Raw_Data_Copy!B75</f>
        <v>74</v>
      </c>
      <c r="C75" s="18" t="str">
        <f>Raw_Data_Copy!E75</f>
        <v>กฎกระทรวง การอนุญาตเป็นผู้ชำนาญการด้านความปลอดภัย อาชีวอนามัย และสภาพแวดล้อมในการทำงาน พ.ศ. 2567</v>
      </c>
      <c r="D75" s="18" t="str">
        <f>Raw_Data_Copy!C75</f>
        <v>กฎหมายความปลอดภัย อาชีวอนามัย และสภาพแวดล้อมในการทำงาน</v>
      </c>
      <c r="E75" s="22" t="str">
        <f>Raw_Data_Copy!F75</f>
        <v>11/20/2024</v>
      </c>
      <c r="F75" s="18" t="e">
        <f t="shared" si="28"/>
        <v>#VALUE!</v>
      </c>
      <c r="G75" s="18" t="str">
        <f t="shared" si="29"/>
        <v>11/20/2024</v>
      </c>
      <c r="H75" s="18" t="str">
        <f>Raw_Data_Copy!I75</f>
        <v>Implemented</v>
      </c>
      <c r="I75" s="18" t="str">
        <f t="shared" si="30"/>
        <v>Implemented</v>
      </c>
      <c r="J75" s="18" t="str">
        <f>Raw_Data_Copy!L75</f>
        <v>Active</v>
      </c>
      <c r="K75" s="18" t="str">
        <f t="shared" si="31"/>
        <v>Active</v>
      </c>
      <c r="L75" s="18" t="str">
        <f>Raw_Data_Copy!J75</f>
        <v>จริง</v>
      </c>
      <c r="M75" s="18" t="str">
        <f>Raw_Data_Copy!K75</f>
        <v>1) ทบทวนทะเบียนกฎหมายให้ครอบคลุมกฎกระทรวงฉบับนี้ โดยเฉพาะองค์กรที่ต้องใช้ผู้ชำนาญการภายนอกหรือบุคลากรภายในที่ต้องขึ้นเป็นผู้ชำนาญการตามกฎหมาย
2) ตรวจสอบคุณสมบัติ สถานะใบอนุญาต อายุใบอนุญาต การต่ออายุ และหลักฐานการพัฒนาความรู้ของผู้ชำนาญการที่องค์กรใช้ เพื่อป้องกันการใช้บุคคลที่ไม่มีสิทธิหรือใบอนุญาตหมดอายุ
3) ควบคุมเอกสารสำคัญ เช่น คำสั่งแต่งตั้ง/ว่าจ้าง สำเนาใบอนุญาต รายงานผลการปฏิบัติงาน หนังสือรับรอง ผลการประเมินอันตราย แผนงานด้านความปลอดภัย และหลักฐานการแจ้งต่ออธิบดี ให้พร้อมตรวจสอบ
4) ใช้กฎหมายฉบับนี้เชื่อมกับระบบ มรท.8001 ในเรื่องการคัดเลือกผู้มีความสามารถ การประเมินความสอดคล้องตามกฎหมาย การตรวจติดตามภายใน และการควบคุมผู้รับจ้าง/ที่ปรึกษาด้านความปลอดภัย
5) หากองค์กรมี จป. ระดับเทคนิค/เทคนิคขั้นสูง/วิชาชีพ ที่จะพัฒนาไปเป็นผู้ชำนาญการ ควรจัดทำแผนพัฒนาความสามารถและเส้นทางคุณวุฒิให้ชัดเจน เพื่อใช้ทั้งเชิง compliance และเชิงพัฒนาระบบความปลอดภัยขององค์กร</v>
      </c>
      <c r="N75" s="18">
        <f t="shared" si="32"/>
        <v>1</v>
      </c>
      <c r="O75" s="18">
        <f t="shared" si="33"/>
        <v>0</v>
      </c>
      <c r="P75" s="18">
        <f t="shared" si="34"/>
        <v>0</v>
      </c>
      <c r="Q75" s="18">
        <f t="shared" si="35"/>
        <v>1</v>
      </c>
      <c r="R75" s="18">
        <f t="shared" si="36"/>
        <v>0</v>
      </c>
      <c r="S75" s="18">
        <f t="shared" si="37"/>
        <v>0</v>
      </c>
      <c r="T75" s="18">
        <f t="shared" si="38"/>
        <v>0</v>
      </c>
      <c r="U75" s="18">
        <f t="shared" si="39"/>
        <v>0</v>
      </c>
      <c r="V75" s="18">
        <f t="shared" si="40"/>
        <v>0</v>
      </c>
      <c r="W75" s="18">
        <f t="shared" si="41"/>
        <v>0</v>
      </c>
      <c r="X75" s="18" t="str">
        <f>Raw_Data_Copy!G75</f>
        <v>https://legal.labour.go.th/images/law/Safety2554/2567/Safety_14-11-67.pdf</v>
      </c>
      <c r="Y75" s="18">
        <f>Raw_Data_Copy!D75</f>
        <v>0</v>
      </c>
      <c r="Z75" s="18" t="str">
        <f>Raw_Data_Copy!A75</f>
        <v>กฎกระทรวง</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05057"/>
  </sheetPr>
  <dimension ref="A1:M75"/>
  <sheetViews>
    <sheetView showGridLines="0" workbookViewId="0">
      <selection sqref="A1:XFD1048576"/>
    </sheetView>
  </sheetViews>
  <sheetFormatPr defaultColWidth="18.85546875" defaultRowHeight="14.45"/>
  <sheetData>
    <row r="1" spans="1:13">
      <c r="A1" s="11" t="s">
        <v>21</v>
      </c>
      <c r="B1" s="11" t="s">
        <v>22</v>
      </c>
      <c r="C1" s="11" t="s">
        <v>14</v>
      </c>
      <c r="D1" s="11" t="s">
        <v>23</v>
      </c>
      <c r="E1" s="11" t="s">
        <v>24</v>
      </c>
      <c r="F1" s="11" t="s">
        <v>25</v>
      </c>
      <c r="G1" s="11" t="s">
        <v>26</v>
      </c>
      <c r="H1" s="11" t="s">
        <v>27</v>
      </c>
      <c r="I1" s="11" t="s">
        <v>28</v>
      </c>
      <c r="J1" s="11" t="s">
        <v>29</v>
      </c>
      <c r="K1" s="11" t="s">
        <v>30</v>
      </c>
      <c r="L1" s="11" t="s">
        <v>31</v>
      </c>
      <c r="M1" s="11" t="s">
        <v>32</v>
      </c>
    </row>
    <row r="2" spans="1:13" ht="15.6">
      <c r="A2" s="1" t="s">
        <v>95</v>
      </c>
      <c r="B2" s="1">
        <v>1</v>
      </c>
      <c r="C2" s="1" t="s">
        <v>96</v>
      </c>
      <c r="D2" s="1"/>
      <c r="E2" s="1" t="s">
        <v>97</v>
      </c>
      <c r="F2" s="5" t="s">
        <v>98</v>
      </c>
      <c r="G2" s="12" t="s">
        <v>99</v>
      </c>
      <c r="H2" s="1" t="s">
        <v>100</v>
      </c>
      <c r="I2" s="1" t="s">
        <v>4</v>
      </c>
      <c r="J2" s="1" t="s">
        <v>38</v>
      </c>
      <c r="K2" s="1" t="s">
        <v>101</v>
      </c>
      <c r="L2" s="1" t="s">
        <v>40</v>
      </c>
      <c r="M2" s="1">
        <v>3</v>
      </c>
    </row>
    <row r="3" spans="1:13" ht="15.6">
      <c r="A3" s="1" t="s">
        <v>95</v>
      </c>
      <c r="B3" s="1">
        <v>2</v>
      </c>
      <c r="C3" s="1" t="s">
        <v>60</v>
      </c>
      <c r="D3" s="1"/>
      <c r="E3" s="1" t="s">
        <v>102</v>
      </c>
      <c r="F3" s="5" t="s">
        <v>103</v>
      </c>
      <c r="G3" s="12" t="s">
        <v>104</v>
      </c>
      <c r="H3" s="1" t="s">
        <v>105</v>
      </c>
      <c r="I3" s="1" t="s">
        <v>4</v>
      </c>
      <c r="J3" s="1" t="s">
        <v>38</v>
      </c>
      <c r="K3" s="1" t="s">
        <v>106</v>
      </c>
      <c r="L3" s="1" t="s">
        <v>40</v>
      </c>
      <c r="M3" s="1">
        <v>3</v>
      </c>
    </row>
    <row r="4" spans="1:13" ht="15.6">
      <c r="A4" s="1" t="s">
        <v>95</v>
      </c>
      <c r="B4" s="1">
        <v>3</v>
      </c>
      <c r="C4" s="1" t="s">
        <v>107</v>
      </c>
      <c r="D4" s="1"/>
      <c r="E4" s="1" t="s">
        <v>108</v>
      </c>
      <c r="F4" s="5" t="s">
        <v>109</v>
      </c>
      <c r="G4" s="12" t="s">
        <v>110</v>
      </c>
      <c r="H4" s="1" t="s">
        <v>111</v>
      </c>
      <c r="I4" s="1" t="s">
        <v>4</v>
      </c>
      <c r="J4" s="1" t="s">
        <v>38</v>
      </c>
      <c r="K4" s="1" t="s">
        <v>112</v>
      </c>
      <c r="L4" s="1" t="s">
        <v>40</v>
      </c>
      <c r="M4" s="1">
        <v>3</v>
      </c>
    </row>
    <row r="5" spans="1:13" ht="15.6">
      <c r="A5" s="1" t="s">
        <v>95</v>
      </c>
      <c r="B5" s="1">
        <v>4</v>
      </c>
      <c r="C5" s="1" t="s">
        <v>113</v>
      </c>
      <c r="D5" s="1"/>
      <c r="E5" s="1" t="s">
        <v>114</v>
      </c>
      <c r="F5" s="5" t="s">
        <v>115</v>
      </c>
      <c r="G5" s="12" t="s">
        <v>116</v>
      </c>
      <c r="H5" s="1" t="s">
        <v>117</v>
      </c>
      <c r="I5" s="1" t="s">
        <v>4</v>
      </c>
      <c r="J5" s="1" t="s">
        <v>38</v>
      </c>
      <c r="K5" s="1" t="s">
        <v>112</v>
      </c>
      <c r="L5" s="1" t="s">
        <v>40</v>
      </c>
      <c r="M5" s="1">
        <v>3</v>
      </c>
    </row>
    <row r="6" spans="1:13" ht="15.6">
      <c r="A6" s="1" t="s">
        <v>95</v>
      </c>
      <c r="B6" s="1">
        <v>5</v>
      </c>
      <c r="C6" s="1" t="s">
        <v>34</v>
      </c>
      <c r="D6" s="1"/>
      <c r="E6" s="1" t="s">
        <v>118</v>
      </c>
      <c r="F6" s="5" t="s">
        <v>115</v>
      </c>
      <c r="G6" s="12" t="s">
        <v>119</v>
      </c>
      <c r="H6" s="1" t="s">
        <v>120</v>
      </c>
      <c r="I6" s="1" t="s">
        <v>4</v>
      </c>
      <c r="J6" s="1" t="s">
        <v>38</v>
      </c>
      <c r="K6" s="1" t="s">
        <v>112</v>
      </c>
      <c r="L6" s="1" t="s">
        <v>40</v>
      </c>
      <c r="M6" s="1">
        <v>3</v>
      </c>
    </row>
    <row r="7" spans="1:13" ht="15.6">
      <c r="A7" s="1" t="s">
        <v>95</v>
      </c>
      <c r="B7" s="1">
        <v>6</v>
      </c>
      <c r="C7" s="1" t="s">
        <v>34</v>
      </c>
      <c r="D7" s="1"/>
      <c r="E7" s="1" t="s">
        <v>121</v>
      </c>
      <c r="F7" s="5" t="s">
        <v>122</v>
      </c>
      <c r="G7" s="12" t="s">
        <v>123</v>
      </c>
      <c r="H7" s="1" t="s">
        <v>124</v>
      </c>
      <c r="I7" s="1" t="s">
        <v>4</v>
      </c>
      <c r="J7" s="1" t="s">
        <v>38</v>
      </c>
      <c r="K7" s="1" t="s">
        <v>112</v>
      </c>
      <c r="L7" s="1" t="s">
        <v>40</v>
      </c>
      <c r="M7" s="1">
        <v>3</v>
      </c>
    </row>
    <row r="8" spans="1:13" ht="15.6">
      <c r="A8" s="1" t="s">
        <v>125</v>
      </c>
      <c r="B8" s="1">
        <v>7</v>
      </c>
      <c r="C8" s="1" t="s">
        <v>96</v>
      </c>
      <c r="D8" s="1"/>
      <c r="E8" s="1" t="s">
        <v>126</v>
      </c>
      <c r="F8" s="5" t="s">
        <v>127</v>
      </c>
      <c r="G8" s="12" t="s">
        <v>128</v>
      </c>
      <c r="H8" s="1" t="s">
        <v>129</v>
      </c>
      <c r="I8" s="1" t="s">
        <v>130</v>
      </c>
      <c r="J8" s="1" t="s">
        <v>38</v>
      </c>
      <c r="K8" s="1" t="s">
        <v>112</v>
      </c>
      <c r="L8" s="1" t="s">
        <v>40</v>
      </c>
      <c r="M8" s="1">
        <v>3</v>
      </c>
    </row>
    <row r="9" spans="1:13" ht="15.6">
      <c r="A9" s="1" t="s">
        <v>131</v>
      </c>
      <c r="B9" s="1">
        <v>8</v>
      </c>
      <c r="C9" s="1" t="s">
        <v>96</v>
      </c>
      <c r="D9" s="1">
        <v>68372</v>
      </c>
      <c r="E9" s="1" t="s">
        <v>132</v>
      </c>
      <c r="F9" s="5" t="s">
        <v>133</v>
      </c>
      <c r="G9" s="12" t="s">
        <v>134</v>
      </c>
      <c r="H9" s="1" t="s">
        <v>135</v>
      </c>
      <c r="I9" s="1" t="s">
        <v>130</v>
      </c>
      <c r="J9" s="1" t="s">
        <v>38</v>
      </c>
      <c r="K9" s="1" t="s">
        <v>112</v>
      </c>
      <c r="L9" s="1" t="s">
        <v>40</v>
      </c>
      <c r="M9" s="1">
        <v>3</v>
      </c>
    </row>
    <row r="10" spans="1:13" ht="15.6">
      <c r="A10" s="1" t="s">
        <v>131</v>
      </c>
      <c r="B10" s="1">
        <v>9</v>
      </c>
      <c r="C10" s="1" t="s">
        <v>96</v>
      </c>
      <c r="D10" s="1"/>
      <c r="E10" s="1" t="s">
        <v>136</v>
      </c>
      <c r="F10" s="5" t="s">
        <v>137</v>
      </c>
      <c r="G10" s="12" t="s">
        <v>138</v>
      </c>
      <c r="H10" s="1" t="s">
        <v>139</v>
      </c>
      <c r="I10" s="1" t="s">
        <v>4</v>
      </c>
      <c r="J10" s="1" t="s">
        <v>38</v>
      </c>
      <c r="K10" s="1" t="s">
        <v>112</v>
      </c>
      <c r="L10" s="1" t="s">
        <v>140</v>
      </c>
      <c r="M10" s="1">
        <v>3</v>
      </c>
    </row>
    <row r="11" spans="1:13" ht="15.6">
      <c r="A11" s="1" t="s">
        <v>131</v>
      </c>
      <c r="B11" s="1">
        <v>10</v>
      </c>
      <c r="C11" s="1" t="s">
        <v>96</v>
      </c>
      <c r="D11" s="1"/>
      <c r="E11" s="1" t="s">
        <v>141</v>
      </c>
      <c r="F11" s="5" t="s">
        <v>142</v>
      </c>
      <c r="G11" s="12" t="s">
        <v>143</v>
      </c>
      <c r="H11" s="1" t="s">
        <v>144</v>
      </c>
      <c r="I11" s="1" t="s">
        <v>130</v>
      </c>
      <c r="J11" s="1" t="s">
        <v>38</v>
      </c>
      <c r="K11" s="1" t="s">
        <v>112</v>
      </c>
      <c r="L11" s="1" t="s">
        <v>140</v>
      </c>
      <c r="M11" s="1">
        <v>3</v>
      </c>
    </row>
    <row r="12" spans="1:13" ht="15.6">
      <c r="A12" s="1" t="s">
        <v>131</v>
      </c>
      <c r="B12" s="1">
        <v>11</v>
      </c>
      <c r="C12" s="1" t="s">
        <v>113</v>
      </c>
      <c r="D12" s="1"/>
      <c r="E12" s="1" t="s">
        <v>145</v>
      </c>
      <c r="F12" s="5" t="s">
        <v>146</v>
      </c>
      <c r="G12" s="12" t="s">
        <v>147</v>
      </c>
      <c r="H12" s="1" t="s">
        <v>148</v>
      </c>
      <c r="I12" s="1" t="s">
        <v>130</v>
      </c>
      <c r="J12" s="1" t="s">
        <v>38</v>
      </c>
      <c r="K12" s="1" t="s">
        <v>112</v>
      </c>
      <c r="L12" s="1" t="s">
        <v>40</v>
      </c>
      <c r="M12" s="1">
        <v>3</v>
      </c>
    </row>
    <row r="13" spans="1:13" ht="15.6">
      <c r="A13" s="1" t="s">
        <v>131</v>
      </c>
      <c r="B13" s="1">
        <v>12</v>
      </c>
      <c r="C13" s="1" t="s">
        <v>96</v>
      </c>
      <c r="D13" s="1"/>
      <c r="E13" s="1" t="s">
        <v>149</v>
      </c>
      <c r="F13" s="5" t="s">
        <v>150</v>
      </c>
      <c r="G13" s="12" t="s">
        <v>151</v>
      </c>
      <c r="H13" s="1" t="s">
        <v>152</v>
      </c>
      <c r="I13" s="1" t="s">
        <v>4</v>
      </c>
      <c r="J13" s="1" t="s">
        <v>38</v>
      </c>
      <c r="K13" s="1" t="s">
        <v>112</v>
      </c>
      <c r="L13" s="1" t="s">
        <v>40</v>
      </c>
      <c r="M13" s="1">
        <v>3</v>
      </c>
    </row>
    <row r="14" spans="1:13" ht="15.6">
      <c r="A14" s="1" t="s">
        <v>131</v>
      </c>
      <c r="B14" s="1">
        <v>13</v>
      </c>
      <c r="C14" s="1" t="s">
        <v>96</v>
      </c>
      <c r="D14" s="1"/>
      <c r="E14" s="1" t="s">
        <v>153</v>
      </c>
      <c r="F14" s="5" t="s">
        <v>154</v>
      </c>
      <c r="G14" s="12" t="s">
        <v>155</v>
      </c>
      <c r="H14" s="1" t="s">
        <v>156</v>
      </c>
      <c r="I14" s="1" t="s">
        <v>4</v>
      </c>
      <c r="J14" s="1" t="s">
        <v>38</v>
      </c>
      <c r="K14" s="1" t="s">
        <v>112</v>
      </c>
      <c r="L14" s="1" t="s">
        <v>40</v>
      </c>
      <c r="M14" s="1">
        <v>3</v>
      </c>
    </row>
    <row r="15" spans="1:13" ht="15.6">
      <c r="A15" s="1" t="s">
        <v>131</v>
      </c>
      <c r="B15" s="1">
        <v>14</v>
      </c>
      <c r="C15" s="1" t="s">
        <v>96</v>
      </c>
      <c r="D15" s="1"/>
      <c r="E15" s="1" t="s">
        <v>157</v>
      </c>
      <c r="F15" s="5" t="s">
        <v>158</v>
      </c>
      <c r="G15" s="12" t="s">
        <v>159</v>
      </c>
      <c r="H15" s="1" t="s">
        <v>160</v>
      </c>
      <c r="I15" s="1" t="s">
        <v>4</v>
      </c>
      <c r="J15" s="1" t="s">
        <v>38</v>
      </c>
      <c r="K15" s="1" t="s">
        <v>112</v>
      </c>
      <c r="L15" s="1" t="s">
        <v>40</v>
      </c>
      <c r="M15" s="1">
        <v>3</v>
      </c>
    </row>
    <row r="16" spans="1:13" ht="15.6">
      <c r="A16" s="1" t="s">
        <v>131</v>
      </c>
      <c r="B16" s="1">
        <v>15</v>
      </c>
      <c r="C16" s="1" t="s">
        <v>96</v>
      </c>
      <c r="D16" s="1"/>
      <c r="E16" s="1" t="s">
        <v>161</v>
      </c>
      <c r="F16" s="5" t="s">
        <v>158</v>
      </c>
      <c r="G16" s="12" t="s">
        <v>162</v>
      </c>
      <c r="H16" s="1" t="s">
        <v>163</v>
      </c>
      <c r="I16" s="1" t="s">
        <v>4</v>
      </c>
      <c r="J16" s="1" t="s">
        <v>38</v>
      </c>
      <c r="K16" s="1" t="s">
        <v>112</v>
      </c>
      <c r="L16" s="1" t="s">
        <v>40</v>
      </c>
      <c r="M16" s="1">
        <v>3</v>
      </c>
    </row>
    <row r="17" spans="1:13" ht="15.6">
      <c r="A17" s="1" t="s">
        <v>131</v>
      </c>
      <c r="B17" s="1">
        <v>16</v>
      </c>
      <c r="C17" s="1" t="s">
        <v>96</v>
      </c>
      <c r="D17" s="1"/>
      <c r="E17" s="1" t="s">
        <v>164</v>
      </c>
      <c r="F17" s="5" t="s">
        <v>158</v>
      </c>
      <c r="G17" s="12" t="s">
        <v>165</v>
      </c>
      <c r="H17" s="1" t="s">
        <v>166</v>
      </c>
      <c r="I17" s="1" t="s">
        <v>4</v>
      </c>
      <c r="J17" s="1" t="s">
        <v>38</v>
      </c>
      <c r="K17" s="1" t="s">
        <v>112</v>
      </c>
      <c r="L17" s="1" t="s">
        <v>40</v>
      </c>
      <c r="M17" s="1">
        <v>3</v>
      </c>
    </row>
    <row r="18" spans="1:13" ht="15.6">
      <c r="A18" s="1" t="s">
        <v>131</v>
      </c>
      <c r="B18" s="1">
        <v>17</v>
      </c>
      <c r="C18" s="1" t="s">
        <v>96</v>
      </c>
      <c r="D18" s="1"/>
      <c r="E18" s="1" t="s">
        <v>167</v>
      </c>
      <c r="F18" s="5" t="s">
        <v>158</v>
      </c>
      <c r="G18" s="12" t="s">
        <v>168</v>
      </c>
      <c r="H18" s="1" t="s">
        <v>169</v>
      </c>
      <c r="I18" s="1" t="s">
        <v>4</v>
      </c>
      <c r="J18" s="1" t="s">
        <v>38</v>
      </c>
      <c r="K18" s="1" t="s">
        <v>112</v>
      </c>
      <c r="L18" s="1" t="s">
        <v>40</v>
      </c>
      <c r="M18" s="1">
        <v>3</v>
      </c>
    </row>
    <row r="19" spans="1:13" ht="15.6">
      <c r="A19" s="1" t="s">
        <v>131</v>
      </c>
      <c r="B19" s="1">
        <v>18</v>
      </c>
      <c r="C19" s="1" t="s">
        <v>96</v>
      </c>
      <c r="D19" s="1"/>
      <c r="E19" s="1" t="s">
        <v>170</v>
      </c>
      <c r="F19" s="5" t="s">
        <v>158</v>
      </c>
      <c r="G19" s="12" t="s">
        <v>171</v>
      </c>
      <c r="H19" s="1" t="s">
        <v>172</v>
      </c>
      <c r="I19" s="1" t="s">
        <v>4</v>
      </c>
      <c r="J19" s="1" t="s">
        <v>38</v>
      </c>
      <c r="K19" s="1" t="s">
        <v>112</v>
      </c>
      <c r="L19" s="1" t="s">
        <v>40</v>
      </c>
      <c r="M19" s="1">
        <v>3</v>
      </c>
    </row>
    <row r="20" spans="1:13" ht="15.6">
      <c r="A20" s="1" t="s">
        <v>131</v>
      </c>
      <c r="B20" s="1">
        <v>19</v>
      </c>
      <c r="C20" s="1" t="s">
        <v>96</v>
      </c>
      <c r="D20" s="1"/>
      <c r="E20" s="1" t="s">
        <v>173</v>
      </c>
      <c r="F20" s="5" t="s">
        <v>174</v>
      </c>
      <c r="G20" s="12" t="s">
        <v>175</v>
      </c>
      <c r="H20" s="1" t="s">
        <v>176</v>
      </c>
      <c r="I20" s="1" t="s">
        <v>4</v>
      </c>
      <c r="J20" s="1" t="s">
        <v>38</v>
      </c>
      <c r="K20" s="1" t="s">
        <v>112</v>
      </c>
      <c r="L20" s="1" t="s">
        <v>40</v>
      </c>
      <c r="M20" s="1">
        <v>3</v>
      </c>
    </row>
    <row r="21" spans="1:13" ht="15.6">
      <c r="A21" s="1" t="s">
        <v>131</v>
      </c>
      <c r="B21" s="1">
        <v>20</v>
      </c>
      <c r="C21" s="1" t="s">
        <v>96</v>
      </c>
      <c r="D21" s="1"/>
      <c r="E21" s="1" t="s">
        <v>177</v>
      </c>
      <c r="F21" s="5" t="s">
        <v>178</v>
      </c>
      <c r="G21" s="12" t="s">
        <v>179</v>
      </c>
      <c r="H21" s="1" t="s">
        <v>180</v>
      </c>
      <c r="I21" s="1" t="s">
        <v>4</v>
      </c>
      <c r="J21" s="1" t="s">
        <v>38</v>
      </c>
      <c r="K21" s="1" t="s">
        <v>112</v>
      </c>
      <c r="L21" s="1" t="s">
        <v>40</v>
      </c>
      <c r="M21" s="1">
        <v>3</v>
      </c>
    </row>
    <row r="22" spans="1:13" ht="15.6">
      <c r="A22" s="1" t="s">
        <v>131</v>
      </c>
      <c r="B22" s="1">
        <v>21</v>
      </c>
      <c r="C22" s="1" t="s">
        <v>34</v>
      </c>
      <c r="D22" s="1"/>
      <c r="E22" s="1" t="s">
        <v>181</v>
      </c>
      <c r="F22" s="5">
        <v>44652</v>
      </c>
      <c r="G22" s="12" t="s">
        <v>182</v>
      </c>
      <c r="H22" s="1" t="s">
        <v>183</v>
      </c>
      <c r="I22" s="1" t="s">
        <v>4</v>
      </c>
      <c r="J22" s="1" t="s">
        <v>38</v>
      </c>
      <c r="K22" s="1" t="s">
        <v>112</v>
      </c>
      <c r="L22" s="1" t="s">
        <v>40</v>
      </c>
      <c r="M22" s="1">
        <v>3</v>
      </c>
    </row>
    <row r="23" spans="1:13" ht="15.6">
      <c r="A23" s="1" t="s">
        <v>131</v>
      </c>
      <c r="B23" s="1">
        <v>22</v>
      </c>
      <c r="C23" s="1" t="s">
        <v>34</v>
      </c>
      <c r="D23" s="1"/>
      <c r="E23" s="1" t="s">
        <v>184</v>
      </c>
      <c r="F23" s="5" t="s">
        <v>185</v>
      </c>
      <c r="G23" s="12" t="s">
        <v>186</v>
      </c>
      <c r="H23" s="1" t="s">
        <v>187</v>
      </c>
      <c r="I23" s="1" t="s">
        <v>4</v>
      </c>
      <c r="J23" s="1" t="s">
        <v>38</v>
      </c>
      <c r="K23" s="1" t="s">
        <v>112</v>
      </c>
      <c r="L23" s="1" t="s">
        <v>40</v>
      </c>
      <c r="M23" s="1">
        <v>3</v>
      </c>
    </row>
    <row r="24" spans="1:13" ht="15.6">
      <c r="A24" s="1" t="s">
        <v>131</v>
      </c>
      <c r="B24" s="1">
        <v>23</v>
      </c>
      <c r="C24" s="1" t="s">
        <v>34</v>
      </c>
      <c r="D24" s="1"/>
      <c r="E24" s="1" t="s">
        <v>188</v>
      </c>
      <c r="F24" s="5"/>
      <c r="G24" s="12" t="s">
        <v>189</v>
      </c>
      <c r="H24" s="1" t="s">
        <v>190</v>
      </c>
      <c r="I24" s="1" t="s">
        <v>4</v>
      </c>
      <c r="J24" s="1" t="s">
        <v>38</v>
      </c>
      <c r="K24" s="1" t="s">
        <v>112</v>
      </c>
      <c r="L24" s="1" t="s">
        <v>40</v>
      </c>
      <c r="M24" s="1">
        <v>3</v>
      </c>
    </row>
    <row r="25" spans="1:13" ht="15.6">
      <c r="A25" s="1" t="s">
        <v>131</v>
      </c>
      <c r="B25" s="1">
        <v>24</v>
      </c>
      <c r="C25" s="1" t="s">
        <v>96</v>
      </c>
      <c r="D25" s="1"/>
      <c r="E25" s="1" t="s">
        <v>191</v>
      </c>
      <c r="F25" s="5">
        <v>44749</v>
      </c>
      <c r="G25" s="12" t="s">
        <v>192</v>
      </c>
      <c r="H25" s="1" t="s">
        <v>193</v>
      </c>
      <c r="I25" s="1" t="s">
        <v>4</v>
      </c>
      <c r="J25" s="1" t="s">
        <v>38</v>
      </c>
      <c r="K25" s="1" t="s">
        <v>112</v>
      </c>
      <c r="L25" s="1" t="s">
        <v>40</v>
      </c>
      <c r="M25" s="1">
        <v>3</v>
      </c>
    </row>
    <row r="26" spans="1:13" ht="15.6">
      <c r="A26" s="1" t="s">
        <v>131</v>
      </c>
      <c r="B26" s="1">
        <v>25</v>
      </c>
      <c r="C26" s="1" t="s">
        <v>96</v>
      </c>
      <c r="D26" s="1">
        <v>142482</v>
      </c>
      <c r="E26" s="1" t="s">
        <v>194</v>
      </c>
      <c r="F26" s="5" t="s">
        <v>195</v>
      </c>
      <c r="G26" s="12" t="s">
        <v>196</v>
      </c>
      <c r="H26" s="1" t="s">
        <v>197</v>
      </c>
      <c r="I26" s="1" t="s">
        <v>4</v>
      </c>
      <c r="J26" s="1" t="s">
        <v>38</v>
      </c>
      <c r="K26" s="1" t="s">
        <v>112</v>
      </c>
      <c r="L26" s="1" t="s">
        <v>40</v>
      </c>
      <c r="M26" s="1">
        <v>3</v>
      </c>
    </row>
    <row r="27" spans="1:13" ht="15.6">
      <c r="A27" s="1" t="s">
        <v>131</v>
      </c>
      <c r="B27" s="1">
        <v>26</v>
      </c>
      <c r="C27" s="1" t="s">
        <v>34</v>
      </c>
      <c r="D27" s="1">
        <v>2096789</v>
      </c>
      <c r="E27" s="1" t="s">
        <v>198</v>
      </c>
      <c r="F27" s="5" t="s">
        <v>199</v>
      </c>
      <c r="G27" s="12" t="s">
        <v>200</v>
      </c>
      <c r="H27" s="1" t="s">
        <v>201</v>
      </c>
      <c r="I27" s="1" t="s">
        <v>4</v>
      </c>
      <c r="J27" s="1" t="s">
        <v>38</v>
      </c>
      <c r="K27" s="1" t="s">
        <v>202</v>
      </c>
      <c r="L27" s="1" t="s">
        <v>40</v>
      </c>
      <c r="M27" s="1">
        <v>3</v>
      </c>
    </row>
    <row r="28" spans="1:13" ht="15.6">
      <c r="A28" s="1" t="s">
        <v>131</v>
      </c>
      <c r="B28" s="1">
        <v>27</v>
      </c>
      <c r="C28" s="1" t="s">
        <v>34</v>
      </c>
      <c r="D28" s="1">
        <v>54513</v>
      </c>
      <c r="E28" s="1" t="s">
        <v>203</v>
      </c>
      <c r="F28" s="5" t="s">
        <v>204</v>
      </c>
      <c r="G28" s="12" t="s">
        <v>205</v>
      </c>
      <c r="H28" s="1" t="s">
        <v>206</v>
      </c>
      <c r="I28" s="1" t="s">
        <v>4</v>
      </c>
      <c r="J28" s="1" t="s">
        <v>38</v>
      </c>
      <c r="K28" s="1" t="s">
        <v>112</v>
      </c>
      <c r="L28" s="1" t="s">
        <v>40</v>
      </c>
      <c r="M28" s="1">
        <v>3</v>
      </c>
    </row>
    <row r="29" spans="1:13" ht="15.6">
      <c r="A29" s="1" t="s">
        <v>131</v>
      </c>
      <c r="B29" s="1">
        <v>28</v>
      </c>
      <c r="C29" s="1" t="s">
        <v>34</v>
      </c>
      <c r="D29" s="1">
        <v>62636</v>
      </c>
      <c r="E29" s="1" t="s">
        <v>207</v>
      </c>
      <c r="F29" s="5" t="s">
        <v>208</v>
      </c>
      <c r="G29" s="12" t="s">
        <v>209</v>
      </c>
      <c r="H29" s="1" t="s">
        <v>210</v>
      </c>
      <c r="I29" s="1" t="s">
        <v>4</v>
      </c>
      <c r="J29" s="1" t="s">
        <v>38</v>
      </c>
      <c r="K29" s="1" t="s">
        <v>112</v>
      </c>
      <c r="L29" s="1" t="s">
        <v>40</v>
      </c>
      <c r="M29" s="1">
        <v>3</v>
      </c>
    </row>
    <row r="30" spans="1:13" ht="15.6">
      <c r="A30" s="1" t="s">
        <v>131</v>
      </c>
      <c r="B30" s="1">
        <v>29</v>
      </c>
      <c r="C30" s="1" t="s">
        <v>34</v>
      </c>
      <c r="D30" s="1"/>
      <c r="E30" s="1" t="s">
        <v>211</v>
      </c>
      <c r="F30" s="5">
        <v>39545</v>
      </c>
      <c r="G30" s="12" t="s">
        <v>212</v>
      </c>
      <c r="H30" s="1" t="s">
        <v>213</v>
      </c>
      <c r="I30" s="1" t="s">
        <v>4</v>
      </c>
      <c r="J30" s="1" t="s">
        <v>38</v>
      </c>
      <c r="K30" s="1" t="s">
        <v>112</v>
      </c>
      <c r="L30" s="1" t="s">
        <v>40</v>
      </c>
      <c r="M30" s="1">
        <v>3</v>
      </c>
    </row>
    <row r="31" spans="1:13" ht="15.6">
      <c r="A31" s="1" t="s">
        <v>214</v>
      </c>
      <c r="B31" s="1">
        <v>30</v>
      </c>
      <c r="C31" s="1" t="s">
        <v>96</v>
      </c>
      <c r="D31" s="1"/>
      <c r="E31" s="1" t="s">
        <v>215</v>
      </c>
      <c r="F31" s="5" t="s">
        <v>216</v>
      </c>
      <c r="G31" s="12" t="s">
        <v>217</v>
      </c>
      <c r="H31" s="1" t="s">
        <v>218</v>
      </c>
      <c r="I31" s="1" t="s">
        <v>4</v>
      </c>
      <c r="J31" s="1" t="s">
        <v>38</v>
      </c>
      <c r="K31" s="1" t="s">
        <v>112</v>
      </c>
      <c r="L31" s="1" t="s">
        <v>40</v>
      </c>
      <c r="M31" s="1">
        <v>3</v>
      </c>
    </row>
    <row r="32" spans="1:13" ht="15.6">
      <c r="A32" s="1" t="s">
        <v>214</v>
      </c>
      <c r="B32" s="1">
        <v>31</v>
      </c>
      <c r="C32" s="1" t="s">
        <v>96</v>
      </c>
      <c r="D32" s="1"/>
      <c r="E32" s="1" t="s">
        <v>219</v>
      </c>
      <c r="F32" s="5" t="s">
        <v>216</v>
      </c>
      <c r="G32" s="12" t="s">
        <v>220</v>
      </c>
      <c r="H32" s="1" t="s">
        <v>221</v>
      </c>
      <c r="I32" s="1" t="s">
        <v>4</v>
      </c>
      <c r="J32" s="1" t="s">
        <v>38</v>
      </c>
      <c r="K32" s="1" t="s">
        <v>112</v>
      </c>
      <c r="L32" s="1" t="s">
        <v>40</v>
      </c>
      <c r="M32" s="1">
        <v>3</v>
      </c>
    </row>
    <row r="33" spans="1:13" ht="15.6">
      <c r="A33" s="1" t="s">
        <v>214</v>
      </c>
      <c r="B33" s="1">
        <v>32</v>
      </c>
      <c r="C33" s="1" t="s">
        <v>96</v>
      </c>
      <c r="D33" s="1"/>
      <c r="E33" s="1" t="s">
        <v>222</v>
      </c>
      <c r="F33" s="5" t="s">
        <v>223</v>
      </c>
      <c r="G33" s="12" t="s">
        <v>224</v>
      </c>
      <c r="H33" s="1" t="s">
        <v>225</v>
      </c>
      <c r="I33" s="1" t="s">
        <v>4</v>
      </c>
      <c r="J33" s="1" t="s">
        <v>38</v>
      </c>
      <c r="K33" s="1" t="s">
        <v>112</v>
      </c>
      <c r="L33" s="1" t="s">
        <v>40</v>
      </c>
      <c r="M33" s="1">
        <v>3</v>
      </c>
    </row>
    <row r="34" spans="1:13" ht="15.6">
      <c r="A34" s="1" t="s">
        <v>214</v>
      </c>
      <c r="B34" s="1">
        <v>33</v>
      </c>
      <c r="C34" s="1" t="s">
        <v>96</v>
      </c>
      <c r="D34" s="1">
        <v>1707439</v>
      </c>
      <c r="E34" s="1" t="s">
        <v>226</v>
      </c>
      <c r="F34" s="5" t="s">
        <v>158</v>
      </c>
      <c r="G34" s="12" t="s">
        <v>227</v>
      </c>
      <c r="H34" s="1" t="s">
        <v>228</v>
      </c>
      <c r="I34" s="1" t="s">
        <v>4</v>
      </c>
      <c r="J34" s="1" t="s">
        <v>38</v>
      </c>
      <c r="K34" s="1" t="s">
        <v>112</v>
      </c>
      <c r="L34" s="1" t="s">
        <v>40</v>
      </c>
      <c r="M34" s="1">
        <v>3</v>
      </c>
    </row>
    <row r="35" spans="1:13" ht="15.6">
      <c r="A35" s="1" t="s">
        <v>214</v>
      </c>
      <c r="B35" s="1">
        <v>34</v>
      </c>
      <c r="C35" s="1" t="s">
        <v>96</v>
      </c>
      <c r="D35" s="1"/>
      <c r="E35" s="1" t="s">
        <v>229</v>
      </c>
      <c r="F35" s="5">
        <v>44238</v>
      </c>
      <c r="G35" s="12" t="s">
        <v>230</v>
      </c>
      <c r="H35" s="1" t="s">
        <v>231</v>
      </c>
      <c r="I35" s="1" t="s">
        <v>4</v>
      </c>
      <c r="J35" s="1" t="s">
        <v>38</v>
      </c>
      <c r="K35" s="1" t="s">
        <v>112</v>
      </c>
      <c r="L35" s="1" t="s">
        <v>40</v>
      </c>
      <c r="M35" s="1">
        <v>3</v>
      </c>
    </row>
    <row r="36" spans="1:13" ht="15.6">
      <c r="A36" s="1" t="s">
        <v>214</v>
      </c>
      <c r="B36" s="1">
        <v>35</v>
      </c>
      <c r="C36" s="1" t="s">
        <v>96</v>
      </c>
      <c r="D36" s="1"/>
      <c r="E36" s="1" t="s">
        <v>232</v>
      </c>
      <c r="F36" s="5" t="s">
        <v>233</v>
      </c>
      <c r="G36" s="12" t="s">
        <v>234</v>
      </c>
      <c r="H36" s="1" t="s">
        <v>235</v>
      </c>
      <c r="I36" s="1" t="s">
        <v>4</v>
      </c>
      <c r="J36" s="1" t="s">
        <v>38</v>
      </c>
      <c r="K36" s="1" t="s">
        <v>112</v>
      </c>
      <c r="L36" s="1" t="s">
        <v>40</v>
      </c>
      <c r="M36" s="1">
        <v>3</v>
      </c>
    </row>
    <row r="37" spans="1:13" ht="15.6">
      <c r="A37" s="1" t="s">
        <v>214</v>
      </c>
      <c r="B37" s="1">
        <v>36</v>
      </c>
      <c r="C37" s="1" t="s">
        <v>96</v>
      </c>
      <c r="D37" s="1"/>
      <c r="E37" s="1" t="s">
        <v>236</v>
      </c>
      <c r="F37" s="5" t="s">
        <v>237</v>
      </c>
      <c r="G37" s="12" t="s">
        <v>238</v>
      </c>
      <c r="H37" s="1" t="s">
        <v>239</v>
      </c>
      <c r="I37" s="1" t="s">
        <v>4</v>
      </c>
      <c r="J37" s="1" t="s">
        <v>38</v>
      </c>
      <c r="K37" s="1" t="s">
        <v>112</v>
      </c>
      <c r="L37" s="1" t="s">
        <v>40</v>
      </c>
      <c r="M37" s="1">
        <v>3</v>
      </c>
    </row>
    <row r="38" spans="1:13" ht="15.6">
      <c r="A38" s="1" t="s">
        <v>214</v>
      </c>
      <c r="B38" s="1">
        <v>37</v>
      </c>
      <c r="C38" s="1" t="s">
        <v>96</v>
      </c>
      <c r="D38" s="1"/>
      <c r="E38" s="1" t="s">
        <v>240</v>
      </c>
      <c r="F38" s="5" t="s">
        <v>241</v>
      </c>
      <c r="G38" s="12" t="s">
        <v>242</v>
      </c>
      <c r="H38" s="1" t="s">
        <v>243</v>
      </c>
      <c r="I38" s="1" t="s">
        <v>4</v>
      </c>
      <c r="J38" s="1" t="s">
        <v>38</v>
      </c>
      <c r="K38" s="1" t="s">
        <v>112</v>
      </c>
      <c r="L38" s="1" t="s">
        <v>40</v>
      </c>
      <c r="M38" s="1">
        <v>3</v>
      </c>
    </row>
    <row r="39" spans="1:13" ht="15.6">
      <c r="A39" s="1" t="s">
        <v>244</v>
      </c>
      <c r="B39" s="1">
        <v>38</v>
      </c>
      <c r="C39" s="1" t="s">
        <v>96</v>
      </c>
      <c r="D39" s="1">
        <v>55781</v>
      </c>
      <c r="E39" s="1" t="s">
        <v>245</v>
      </c>
      <c r="F39" s="5" t="s">
        <v>246</v>
      </c>
      <c r="G39" s="12" t="s">
        <v>247</v>
      </c>
      <c r="H39" s="1" t="s">
        <v>248</v>
      </c>
      <c r="I39" s="1" t="s">
        <v>4</v>
      </c>
      <c r="J39" s="1" t="s">
        <v>38</v>
      </c>
      <c r="K39" s="1" t="s">
        <v>249</v>
      </c>
      <c r="L39" s="1" t="s">
        <v>40</v>
      </c>
      <c r="M39" s="1">
        <v>3</v>
      </c>
    </row>
    <row r="40" spans="1:13" ht="15.6">
      <c r="A40" s="1" t="s">
        <v>59</v>
      </c>
      <c r="B40" s="1">
        <v>39</v>
      </c>
      <c r="C40" s="1" t="s">
        <v>60</v>
      </c>
      <c r="D40" s="1"/>
      <c r="E40" s="1" t="s">
        <v>250</v>
      </c>
      <c r="F40" s="5">
        <v>43680</v>
      </c>
      <c r="G40" s="12" t="s">
        <v>251</v>
      </c>
      <c r="H40" s="1" t="s">
        <v>252</v>
      </c>
      <c r="I40" s="1" t="s">
        <v>4</v>
      </c>
      <c r="J40" s="1" t="s">
        <v>38</v>
      </c>
      <c r="K40" s="1" t="s">
        <v>253</v>
      </c>
      <c r="L40" s="1" t="s">
        <v>40</v>
      </c>
      <c r="M40" s="1">
        <v>3</v>
      </c>
    </row>
    <row r="41" spans="1:13" ht="15.6">
      <c r="A41" s="1" t="s">
        <v>59</v>
      </c>
      <c r="B41" s="1">
        <v>40</v>
      </c>
      <c r="C41" s="1" t="s">
        <v>60</v>
      </c>
      <c r="D41" s="1"/>
      <c r="E41" s="1" t="s">
        <v>254</v>
      </c>
      <c r="F41" s="5">
        <v>43680</v>
      </c>
      <c r="G41" s="12" t="s">
        <v>255</v>
      </c>
      <c r="H41" s="1" t="s">
        <v>256</v>
      </c>
      <c r="I41" s="1" t="s">
        <v>4</v>
      </c>
      <c r="J41" s="1" t="s">
        <v>38</v>
      </c>
      <c r="K41" s="1" t="s">
        <v>253</v>
      </c>
      <c r="L41" s="1" t="s">
        <v>40</v>
      </c>
      <c r="M41" s="1">
        <v>3</v>
      </c>
    </row>
    <row r="42" spans="1:13" ht="15.6">
      <c r="A42" s="1" t="s">
        <v>59</v>
      </c>
      <c r="B42" s="1">
        <v>41</v>
      </c>
      <c r="C42" s="1" t="s">
        <v>60</v>
      </c>
      <c r="D42" s="1"/>
      <c r="E42" s="1" t="s">
        <v>257</v>
      </c>
      <c r="F42" s="5" t="s">
        <v>258</v>
      </c>
      <c r="G42" s="12" t="s">
        <v>259</v>
      </c>
      <c r="H42" s="1" t="s">
        <v>260</v>
      </c>
      <c r="I42" s="1" t="s">
        <v>4</v>
      </c>
      <c r="J42" s="1" t="s">
        <v>38</v>
      </c>
      <c r="K42" s="1" t="s">
        <v>253</v>
      </c>
      <c r="L42" s="1" t="s">
        <v>40</v>
      </c>
      <c r="M42" s="1">
        <v>3</v>
      </c>
    </row>
    <row r="43" spans="1:13" ht="15.6">
      <c r="A43" s="1" t="s">
        <v>95</v>
      </c>
      <c r="B43" s="1">
        <v>42</v>
      </c>
      <c r="C43" s="1" t="s">
        <v>96</v>
      </c>
      <c r="D43" s="1">
        <v>89818</v>
      </c>
      <c r="E43" s="1" t="s">
        <v>261</v>
      </c>
      <c r="F43" s="5">
        <v>45849</v>
      </c>
      <c r="G43" s="12" t="s">
        <v>262</v>
      </c>
      <c r="H43" s="1" t="s">
        <v>263</v>
      </c>
      <c r="I43" s="1" t="s">
        <v>4</v>
      </c>
      <c r="J43" s="1" t="s">
        <v>38</v>
      </c>
      <c r="K43" s="1" t="s">
        <v>264</v>
      </c>
      <c r="L43" s="1" t="s">
        <v>40</v>
      </c>
      <c r="M43" s="1">
        <v>3</v>
      </c>
    </row>
    <row r="44" spans="1:13" ht="15.6">
      <c r="A44" s="1" t="s">
        <v>265</v>
      </c>
      <c r="B44" s="1">
        <v>43</v>
      </c>
      <c r="C44" s="1" t="s">
        <v>96</v>
      </c>
      <c r="D44" s="1">
        <v>99330</v>
      </c>
      <c r="E44" s="1" t="s">
        <v>266</v>
      </c>
      <c r="F44" s="5" t="s">
        <v>267</v>
      </c>
      <c r="G44" s="12" t="s">
        <v>268</v>
      </c>
      <c r="H44" s="1" t="s">
        <v>269</v>
      </c>
      <c r="I44" s="1" t="s">
        <v>4</v>
      </c>
      <c r="J44" s="1" t="s">
        <v>38</v>
      </c>
      <c r="K44" s="1" t="s">
        <v>270</v>
      </c>
      <c r="L44" s="1" t="s">
        <v>40</v>
      </c>
      <c r="M44" s="1">
        <v>3</v>
      </c>
    </row>
    <row r="45" spans="1:13" ht="15.6">
      <c r="A45" s="1" t="s">
        <v>265</v>
      </c>
      <c r="B45" s="1">
        <v>44</v>
      </c>
      <c r="C45" s="1" t="s">
        <v>96</v>
      </c>
      <c r="D45" s="1">
        <v>99336</v>
      </c>
      <c r="E45" s="1" t="s">
        <v>222</v>
      </c>
      <c r="F45" s="5" t="s">
        <v>271</v>
      </c>
      <c r="G45" s="12" t="s">
        <v>272</v>
      </c>
      <c r="H45" s="1" t="s">
        <v>273</v>
      </c>
      <c r="I45" s="1" t="s">
        <v>4</v>
      </c>
      <c r="J45" s="1" t="s">
        <v>38</v>
      </c>
      <c r="K45" s="1" t="s">
        <v>274</v>
      </c>
      <c r="L45" s="1" t="s">
        <v>40</v>
      </c>
      <c r="M45" s="1">
        <v>3</v>
      </c>
    </row>
    <row r="46" spans="1:13" ht="15.6">
      <c r="A46" s="1" t="s">
        <v>131</v>
      </c>
      <c r="B46" s="1">
        <v>45</v>
      </c>
      <c r="C46" s="1" t="s">
        <v>34</v>
      </c>
      <c r="D46" s="1">
        <v>98728</v>
      </c>
      <c r="E46" s="1" t="s">
        <v>275</v>
      </c>
      <c r="F46" s="5">
        <v>46003</v>
      </c>
      <c r="G46" s="12" t="s">
        <v>276</v>
      </c>
      <c r="H46" s="1" t="s">
        <v>277</v>
      </c>
      <c r="I46" s="1" t="s">
        <v>4</v>
      </c>
      <c r="J46" s="1" t="s">
        <v>38</v>
      </c>
      <c r="K46" s="1" t="s">
        <v>278</v>
      </c>
      <c r="L46" s="1" t="s">
        <v>40</v>
      </c>
      <c r="M46" s="1">
        <v>3</v>
      </c>
    </row>
    <row r="47" spans="1:13" ht="15.6">
      <c r="A47" s="1" t="s">
        <v>279</v>
      </c>
      <c r="B47" s="1">
        <v>46</v>
      </c>
      <c r="C47" s="1" t="s">
        <v>34</v>
      </c>
      <c r="D47" s="1">
        <v>98741</v>
      </c>
      <c r="E47" s="1" t="s">
        <v>280</v>
      </c>
      <c r="F47" s="5" t="s">
        <v>281</v>
      </c>
      <c r="G47" s="12" t="s">
        <v>282</v>
      </c>
      <c r="H47" s="1" t="s">
        <v>283</v>
      </c>
      <c r="I47" s="1" t="s">
        <v>284</v>
      </c>
      <c r="J47" s="1" t="s">
        <v>38</v>
      </c>
      <c r="K47" s="1" t="s">
        <v>285</v>
      </c>
      <c r="L47" s="1" t="s">
        <v>140</v>
      </c>
      <c r="M47" s="1">
        <v>3</v>
      </c>
    </row>
    <row r="48" spans="1:13" ht="15.6">
      <c r="A48" s="1" t="s">
        <v>286</v>
      </c>
      <c r="B48" s="1">
        <v>47</v>
      </c>
      <c r="C48" s="1" t="s">
        <v>34</v>
      </c>
      <c r="D48" s="1">
        <v>97803</v>
      </c>
      <c r="E48" s="1" t="s">
        <v>287</v>
      </c>
      <c r="F48" s="5" t="s">
        <v>288</v>
      </c>
      <c r="G48" s="12" t="s">
        <v>289</v>
      </c>
      <c r="H48" s="1" t="s">
        <v>290</v>
      </c>
      <c r="I48" s="1" t="s">
        <v>4</v>
      </c>
      <c r="J48" s="1" t="s">
        <v>38</v>
      </c>
      <c r="K48" s="1" t="s">
        <v>291</v>
      </c>
      <c r="L48" s="1" t="s">
        <v>40</v>
      </c>
      <c r="M48" s="1">
        <v>3</v>
      </c>
    </row>
    <row r="49" spans="1:13" ht="15.6">
      <c r="A49" s="1" t="s">
        <v>279</v>
      </c>
      <c r="B49" s="1">
        <v>48</v>
      </c>
      <c r="C49" s="1" t="s">
        <v>46</v>
      </c>
      <c r="D49" s="1">
        <v>98018</v>
      </c>
      <c r="E49" s="1" t="s">
        <v>292</v>
      </c>
      <c r="F49" s="5">
        <v>45973</v>
      </c>
      <c r="G49" s="12" t="s">
        <v>293</v>
      </c>
      <c r="H49" s="1" t="s">
        <v>294</v>
      </c>
      <c r="I49" s="1" t="s">
        <v>4</v>
      </c>
      <c r="J49" s="1" t="s">
        <v>38</v>
      </c>
      <c r="K49" s="1" t="s">
        <v>295</v>
      </c>
      <c r="L49" s="1" t="s">
        <v>40</v>
      </c>
      <c r="M49" s="1">
        <v>3</v>
      </c>
    </row>
    <row r="50" spans="1:13" ht="15.6">
      <c r="A50" s="1" t="s">
        <v>279</v>
      </c>
      <c r="B50" s="1">
        <v>49</v>
      </c>
      <c r="C50" s="1" t="s">
        <v>46</v>
      </c>
      <c r="D50" s="1">
        <v>98684</v>
      </c>
      <c r="E50" s="1" t="s">
        <v>296</v>
      </c>
      <c r="F50" s="5">
        <v>45973</v>
      </c>
      <c r="G50" s="12" t="s">
        <v>297</v>
      </c>
      <c r="H50" s="1" t="s">
        <v>298</v>
      </c>
      <c r="I50" s="1" t="s">
        <v>4</v>
      </c>
      <c r="J50" s="1" t="s">
        <v>38</v>
      </c>
      <c r="K50" s="1" t="s">
        <v>295</v>
      </c>
      <c r="L50" s="1" t="s">
        <v>40</v>
      </c>
      <c r="M50" s="1">
        <v>3</v>
      </c>
    </row>
    <row r="51" spans="1:13" ht="15.6">
      <c r="A51" s="1" t="s">
        <v>279</v>
      </c>
      <c r="B51" s="1">
        <v>50</v>
      </c>
      <c r="C51" s="1" t="s">
        <v>46</v>
      </c>
      <c r="D51" s="1">
        <v>98685</v>
      </c>
      <c r="E51" s="1" t="s">
        <v>299</v>
      </c>
      <c r="F51" s="5">
        <v>46003</v>
      </c>
      <c r="G51" s="12" t="s">
        <v>300</v>
      </c>
      <c r="H51" s="1" t="s">
        <v>301</v>
      </c>
      <c r="I51" s="1" t="s">
        <v>4</v>
      </c>
      <c r="J51" s="1" t="s">
        <v>38</v>
      </c>
      <c r="K51" s="1" t="s">
        <v>295</v>
      </c>
      <c r="L51" s="1" t="s">
        <v>40</v>
      </c>
      <c r="M51" s="1">
        <v>3</v>
      </c>
    </row>
    <row r="52" spans="1:13" ht="15.6">
      <c r="A52" s="1" t="s">
        <v>279</v>
      </c>
      <c r="B52" s="1">
        <v>51</v>
      </c>
      <c r="C52" s="1" t="s">
        <v>46</v>
      </c>
      <c r="D52" s="1">
        <v>98685</v>
      </c>
      <c r="E52" s="1" t="s">
        <v>302</v>
      </c>
      <c r="F52" s="5">
        <v>46003</v>
      </c>
      <c r="G52" s="12" t="s">
        <v>300</v>
      </c>
      <c r="H52" s="1" t="s">
        <v>301</v>
      </c>
      <c r="I52" s="1" t="s">
        <v>4</v>
      </c>
      <c r="J52" s="1" t="s">
        <v>38</v>
      </c>
      <c r="K52" s="1" t="s">
        <v>295</v>
      </c>
      <c r="L52" s="1" t="s">
        <v>40</v>
      </c>
      <c r="M52" s="1">
        <v>3</v>
      </c>
    </row>
    <row r="53" spans="1:13" ht="15.6">
      <c r="A53" s="1" t="s">
        <v>59</v>
      </c>
      <c r="B53" s="1">
        <v>52</v>
      </c>
      <c r="C53" s="1" t="s">
        <v>60</v>
      </c>
      <c r="D53" s="1">
        <v>101869</v>
      </c>
      <c r="E53" s="1" t="s">
        <v>61</v>
      </c>
      <c r="F53" s="5" t="s">
        <v>62</v>
      </c>
      <c r="G53" s="12" t="s">
        <v>63</v>
      </c>
      <c r="H53" s="1" t="s">
        <v>64</v>
      </c>
      <c r="I53" s="1" t="s">
        <v>4</v>
      </c>
      <c r="J53" s="1" t="s">
        <v>38</v>
      </c>
      <c r="K53" s="1" t="s">
        <v>65</v>
      </c>
      <c r="L53" s="1" t="s">
        <v>40</v>
      </c>
      <c r="M53" s="1">
        <v>3</v>
      </c>
    </row>
    <row r="54" spans="1:13" ht="15.6">
      <c r="A54" s="1" t="s">
        <v>45</v>
      </c>
      <c r="B54" s="1">
        <v>53</v>
      </c>
      <c r="C54" s="1" t="s">
        <v>46</v>
      </c>
      <c r="D54" s="1">
        <v>99072</v>
      </c>
      <c r="E54" s="1" t="s">
        <v>47</v>
      </c>
      <c r="F54" s="5">
        <v>46266</v>
      </c>
      <c r="G54" s="12" t="s">
        <v>48</v>
      </c>
      <c r="H54" s="1" t="s">
        <v>49</v>
      </c>
      <c r="I54" s="1" t="s">
        <v>4</v>
      </c>
      <c r="J54" s="1" t="s">
        <v>38</v>
      </c>
      <c r="K54" s="1" t="s">
        <v>50</v>
      </c>
      <c r="L54" s="1" t="s">
        <v>40</v>
      </c>
      <c r="M54" s="1">
        <v>3</v>
      </c>
    </row>
    <row r="55" spans="1:13" ht="15.6">
      <c r="A55" s="1" t="s">
        <v>45</v>
      </c>
      <c r="B55" s="1">
        <v>54</v>
      </c>
      <c r="C55" s="1" t="s">
        <v>46</v>
      </c>
      <c r="D55" s="1">
        <v>99070</v>
      </c>
      <c r="E55" s="1" t="s">
        <v>51</v>
      </c>
      <c r="F55" s="5">
        <v>46266</v>
      </c>
      <c r="G55" s="12" t="s">
        <v>52</v>
      </c>
      <c r="H55" s="1" t="s">
        <v>53</v>
      </c>
      <c r="I55" s="1" t="s">
        <v>4</v>
      </c>
      <c r="J55" s="1" t="s">
        <v>38</v>
      </c>
      <c r="K55" s="1" t="s">
        <v>54</v>
      </c>
      <c r="L55" s="1" t="s">
        <v>40</v>
      </c>
      <c r="M55" s="1">
        <v>3</v>
      </c>
    </row>
    <row r="56" spans="1:13" ht="15.6">
      <c r="A56" s="1" t="s">
        <v>33</v>
      </c>
      <c r="B56" s="1">
        <v>55</v>
      </c>
      <c r="C56" s="1" t="s">
        <v>34</v>
      </c>
      <c r="D56" s="1">
        <v>101606</v>
      </c>
      <c r="E56" s="1" t="s">
        <v>66</v>
      </c>
      <c r="F56" s="5" t="s">
        <v>67</v>
      </c>
      <c r="G56" s="12" t="s">
        <v>68</v>
      </c>
      <c r="H56" s="1" t="s">
        <v>69</v>
      </c>
      <c r="I56" s="1" t="s">
        <v>4</v>
      </c>
      <c r="J56" s="1" t="s">
        <v>38</v>
      </c>
      <c r="K56" s="1" t="s">
        <v>70</v>
      </c>
      <c r="L56" s="1" t="s">
        <v>40</v>
      </c>
      <c r="M56" s="1">
        <v>3</v>
      </c>
    </row>
    <row r="57" spans="1:13" ht="15.6">
      <c r="A57" s="1" t="s">
        <v>33</v>
      </c>
      <c r="B57" s="1">
        <v>56</v>
      </c>
      <c r="C57" s="1" t="s">
        <v>34</v>
      </c>
      <c r="D57" s="1">
        <v>102373</v>
      </c>
      <c r="E57" s="1" t="s">
        <v>55</v>
      </c>
      <c r="F57" s="5">
        <v>46083</v>
      </c>
      <c r="G57" s="12" t="s">
        <v>56</v>
      </c>
      <c r="H57" s="1" t="s">
        <v>57</v>
      </c>
      <c r="I57" s="1" t="s">
        <v>4</v>
      </c>
      <c r="J57" s="1" t="s">
        <v>38</v>
      </c>
      <c r="K57" s="1" t="s">
        <v>58</v>
      </c>
      <c r="L57" s="1" t="s">
        <v>40</v>
      </c>
      <c r="M57" s="1">
        <v>3</v>
      </c>
    </row>
    <row r="58" spans="1:13" ht="15.6">
      <c r="A58" s="1" t="s">
        <v>33</v>
      </c>
      <c r="B58" s="1">
        <v>57</v>
      </c>
      <c r="C58" s="1" t="s">
        <v>34</v>
      </c>
      <c r="D58" s="1">
        <v>102381</v>
      </c>
      <c r="E58" s="1" t="s">
        <v>35</v>
      </c>
      <c r="F58" s="5">
        <v>46357</v>
      </c>
      <c r="G58" s="12" t="s">
        <v>36</v>
      </c>
      <c r="H58" s="1" t="s">
        <v>37</v>
      </c>
      <c r="I58" s="1" t="s">
        <v>4</v>
      </c>
      <c r="J58" s="1" t="s">
        <v>38</v>
      </c>
      <c r="K58" s="1" t="s">
        <v>39</v>
      </c>
      <c r="L58" s="1" t="s">
        <v>40</v>
      </c>
      <c r="M58" s="1">
        <v>3</v>
      </c>
    </row>
    <row r="59" spans="1:13">
      <c r="A59" t="s">
        <v>95</v>
      </c>
      <c r="B59">
        <v>58</v>
      </c>
      <c r="C59" t="s">
        <v>303</v>
      </c>
      <c r="E59" t="s">
        <v>304</v>
      </c>
      <c r="F59" s="13">
        <v>41244</v>
      </c>
      <c r="G59" t="s">
        <v>305</v>
      </c>
      <c r="H59" t="s">
        <v>306</v>
      </c>
      <c r="I59" t="s">
        <v>4</v>
      </c>
      <c r="J59" t="s">
        <v>38</v>
      </c>
      <c r="K59" t="s">
        <v>307</v>
      </c>
      <c r="L59" t="s">
        <v>40</v>
      </c>
      <c r="M59">
        <v>3</v>
      </c>
    </row>
    <row r="60" spans="1:13">
      <c r="A60" t="s">
        <v>131</v>
      </c>
      <c r="B60">
        <v>59</v>
      </c>
      <c r="C60" t="s">
        <v>303</v>
      </c>
      <c r="E60" t="s">
        <v>308</v>
      </c>
      <c r="F60" s="13" t="s">
        <v>309</v>
      </c>
      <c r="G60" t="s">
        <v>310</v>
      </c>
      <c r="H60" t="s">
        <v>311</v>
      </c>
      <c r="I60" t="s">
        <v>4</v>
      </c>
      <c r="J60" t="s">
        <v>38</v>
      </c>
      <c r="K60" t="s">
        <v>312</v>
      </c>
      <c r="L60" t="s">
        <v>40</v>
      </c>
      <c r="M60">
        <v>3</v>
      </c>
    </row>
    <row r="61" spans="1:13">
      <c r="A61" t="s">
        <v>131</v>
      </c>
      <c r="B61">
        <v>60</v>
      </c>
      <c r="C61" t="s">
        <v>303</v>
      </c>
      <c r="E61" t="s">
        <v>313</v>
      </c>
      <c r="F61" s="13" t="s">
        <v>314</v>
      </c>
      <c r="G61" t="s">
        <v>315</v>
      </c>
      <c r="H61" t="s">
        <v>316</v>
      </c>
      <c r="I61" t="s">
        <v>4</v>
      </c>
      <c r="J61" t="s">
        <v>38</v>
      </c>
      <c r="K61" t="s">
        <v>317</v>
      </c>
      <c r="L61" t="s">
        <v>40</v>
      </c>
      <c r="M61">
        <v>3</v>
      </c>
    </row>
    <row r="62" spans="1:13">
      <c r="A62" t="s">
        <v>131</v>
      </c>
      <c r="B62">
        <v>61</v>
      </c>
      <c r="C62" t="s">
        <v>303</v>
      </c>
      <c r="E62" t="s">
        <v>318</v>
      </c>
      <c r="F62" s="13" t="s">
        <v>319</v>
      </c>
      <c r="G62" t="s">
        <v>320</v>
      </c>
      <c r="H62" t="s">
        <v>321</v>
      </c>
      <c r="I62" t="s">
        <v>4</v>
      </c>
      <c r="J62" t="s">
        <v>38</v>
      </c>
      <c r="K62" t="s">
        <v>322</v>
      </c>
      <c r="L62" t="s">
        <v>40</v>
      </c>
      <c r="M62">
        <v>3</v>
      </c>
    </row>
    <row r="63" spans="1:13">
      <c r="A63" t="s">
        <v>265</v>
      </c>
      <c r="B63">
        <v>62</v>
      </c>
      <c r="C63" t="s">
        <v>303</v>
      </c>
      <c r="E63" t="s">
        <v>323</v>
      </c>
      <c r="F63" s="13">
        <v>41437</v>
      </c>
      <c r="G63" t="s">
        <v>320</v>
      </c>
      <c r="H63" t="s">
        <v>324</v>
      </c>
      <c r="I63" t="s">
        <v>4</v>
      </c>
      <c r="J63" t="s">
        <v>38</v>
      </c>
      <c r="K63" t="s">
        <v>325</v>
      </c>
      <c r="L63" t="s">
        <v>40</v>
      </c>
      <c r="M63">
        <v>3</v>
      </c>
    </row>
    <row r="64" spans="1:13">
      <c r="A64" t="s">
        <v>265</v>
      </c>
      <c r="B64">
        <v>63</v>
      </c>
      <c r="C64" t="s">
        <v>303</v>
      </c>
      <c r="E64" t="s">
        <v>326</v>
      </c>
      <c r="F64" s="13">
        <v>41437</v>
      </c>
      <c r="G64" t="s">
        <v>320</v>
      </c>
      <c r="H64" t="s">
        <v>327</v>
      </c>
      <c r="I64" t="s">
        <v>4</v>
      </c>
      <c r="J64" t="s">
        <v>38</v>
      </c>
      <c r="K64" t="s">
        <v>328</v>
      </c>
      <c r="L64" t="s">
        <v>40</v>
      </c>
      <c r="M64">
        <v>3</v>
      </c>
    </row>
    <row r="65" spans="1:13">
      <c r="A65" t="s">
        <v>131</v>
      </c>
      <c r="B65">
        <v>64</v>
      </c>
      <c r="C65" t="s">
        <v>303</v>
      </c>
      <c r="E65" t="s">
        <v>329</v>
      </c>
      <c r="F65" s="13" t="s">
        <v>330</v>
      </c>
      <c r="G65" t="s">
        <v>331</v>
      </c>
      <c r="H65" t="s">
        <v>332</v>
      </c>
      <c r="I65" t="s">
        <v>4</v>
      </c>
      <c r="J65" t="s">
        <v>38</v>
      </c>
      <c r="K65" t="s">
        <v>333</v>
      </c>
      <c r="L65" t="s">
        <v>40</v>
      </c>
      <c r="M65">
        <v>3</v>
      </c>
    </row>
    <row r="66" spans="1:13">
      <c r="A66" t="s">
        <v>131</v>
      </c>
      <c r="B66">
        <v>65</v>
      </c>
      <c r="C66" t="s">
        <v>303</v>
      </c>
      <c r="E66" t="s">
        <v>334</v>
      </c>
      <c r="F66" s="13" t="s">
        <v>335</v>
      </c>
      <c r="G66" t="s">
        <v>336</v>
      </c>
      <c r="H66" t="s">
        <v>337</v>
      </c>
      <c r="I66" t="s">
        <v>4</v>
      </c>
      <c r="J66" t="s">
        <v>38</v>
      </c>
      <c r="K66" t="s">
        <v>338</v>
      </c>
      <c r="L66" t="s">
        <v>40</v>
      </c>
      <c r="M66">
        <v>3</v>
      </c>
    </row>
    <row r="67" spans="1:13">
      <c r="A67" t="s">
        <v>131</v>
      </c>
      <c r="B67">
        <v>66</v>
      </c>
      <c r="C67" t="s">
        <v>303</v>
      </c>
      <c r="E67" t="s">
        <v>339</v>
      </c>
      <c r="F67" s="13" t="s">
        <v>340</v>
      </c>
      <c r="G67" t="s">
        <v>341</v>
      </c>
      <c r="H67" t="s">
        <v>342</v>
      </c>
      <c r="I67" t="s">
        <v>4</v>
      </c>
      <c r="J67" t="s">
        <v>38</v>
      </c>
      <c r="K67" t="s">
        <v>343</v>
      </c>
      <c r="L67" t="s">
        <v>40</v>
      </c>
      <c r="M67">
        <v>3</v>
      </c>
    </row>
    <row r="68" spans="1:13">
      <c r="A68" t="s">
        <v>131</v>
      </c>
      <c r="B68">
        <v>67</v>
      </c>
      <c r="C68" t="s">
        <v>303</v>
      </c>
      <c r="E68" t="s">
        <v>344</v>
      </c>
      <c r="F68" s="13">
        <v>43961</v>
      </c>
      <c r="G68" t="s">
        <v>345</v>
      </c>
      <c r="H68" t="s">
        <v>346</v>
      </c>
      <c r="I68" t="s">
        <v>4</v>
      </c>
      <c r="J68" t="s">
        <v>38</v>
      </c>
      <c r="K68" t="s">
        <v>347</v>
      </c>
      <c r="L68" t="s">
        <v>40</v>
      </c>
      <c r="M68">
        <v>3</v>
      </c>
    </row>
    <row r="69" spans="1:13">
      <c r="A69" t="s">
        <v>131</v>
      </c>
      <c r="B69">
        <v>68</v>
      </c>
      <c r="C69" t="s">
        <v>303</v>
      </c>
      <c r="E69" t="s">
        <v>348</v>
      </c>
      <c r="F69" s="13">
        <v>44199</v>
      </c>
      <c r="G69" t="s">
        <v>349</v>
      </c>
      <c r="H69" t="s">
        <v>350</v>
      </c>
      <c r="I69" t="s">
        <v>4</v>
      </c>
      <c r="J69" t="s">
        <v>38</v>
      </c>
      <c r="K69" t="s">
        <v>351</v>
      </c>
      <c r="L69" t="s">
        <v>40</v>
      </c>
      <c r="M69">
        <v>3</v>
      </c>
    </row>
    <row r="70" spans="1:13">
      <c r="A70" t="s">
        <v>131</v>
      </c>
      <c r="B70">
        <v>69</v>
      </c>
      <c r="C70" t="s">
        <v>303</v>
      </c>
      <c r="E70" t="s">
        <v>352</v>
      </c>
      <c r="F70" s="13">
        <v>44230</v>
      </c>
      <c r="G70" t="s">
        <v>353</v>
      </c>
      <c r="H70" t="s">
        <v>354</v>
      </c>
      <c r="I70" t="s">
        <v>4</v>
      </c>
      <c r="J70" t="s">
        <v>38</v>
      </c>
      <c r="K70" t="s">
        <v>355</v>
      </c>
      <c r="L70" t="s">
        <v>40</v>
      </c>
      <c r="M70">
        <v>3</v>
      </c>
    </row>
    <row r="71" spans="1:13">
      <c r="A71" t="s">
        <v>131</v>
      </c>
      <c r="B71">
        <v>70</v>
      </c>
      <c r="C71" t="s">
        <v>303</v>
      </c>
      <c r="E71" t="s">
        <v>356</v>
      </c>
      <c r="F71" s="13">
        <v>44355</v>
      </c>
      <c r="G71" t="s">
        <v>357</v>
      </c>
      <c r="H71" t="s">
        <v>358</v>
      </c>
      <c r="I71" t="s">
        <v>4</v>
      </c>
      <c r="J71" t="s">
        <v>38</v>
      </c>
      <c r="K71" t="s">
        <v>359</v>
      </c>
      <c r="L71" t="s">
        <v>40</v>
      </c>
      <c r="M71">
        <v>3</v>
      </c>
    </row>
    <row r="72" spans="1:13">
      <c r="A72" t="s">
        <v>131</v>
      </c>
      <c r="B72">
        <v>71</v>
      </c>
      <c r="C72" t="s">
        <v>303</v>
      </c>
      <c r="E72" t="s">
        <v>360</v>
      </c>
      <c r="F72" s="13">
        <v>44267</v>
      </c>
      <c r="G72" t="s">
        <v>361</v>
      </c>
      <c r="H72" t="s">
        <v>362</v>
      </c>
      <c r="I72" t="s">
        <v>4</v>
      </c>
      <c r="J72" t="s">
        <v>38</v>
      </c>
      <c r="K72" t="s">
        <v>363</v>
      </c>
      <c r="L72" t="s">
        <v>40</v>
      </c>
      <c r="M72">
        <v>3</v>
      </c>
    </row>
    <row r="73" spans="1:13">
      <c r="A73" t="s">
        <v>131</v>
      </c>
      <c r="B73">
        <v>72</v>
      </c>
      <c r="C73" t="s">
        <v>303</v>
      </c>
      <c r="E73" t="s">
        <v>364</v>
      </c>
      <c r="F73" s="13" t="s">
        <v>365</v>
      </c>
      <c r="G73" t="s">
        <v>366</v>
      </c>
      <c r="H73" t="s">
        <v>367</v>
      </c>
      <c r="I73" t="s">
        <v>4</v>
      </c>
      <c r="J73" t="s">
        <v>38</v>
      </c>
      <c r="K73" t="s">
        <v>368</v>
      </c>
      <c r="L73" t="s">
        <v>40</v>
      </c>
      <c r="M73">
        <v>3</v>
      </c>
    </row>
    <row r="74" spans="1:13">
      <c r="A74" t="s">
        <v>131</v>
      </c>
      <c r="B74">
        <v>73</v>
      </c>
      <c r="C74" t="s">
        <v>303</v>
      </c>
      <c r="E74" t="s">
        <v>369</v>
      </c>
      <c r="F74" s="13">
        <v>44869</v>
      </c>
      <c r="G74" t="s">
        <v>370</v>
      </c>
      <c r="H74" t="s">
        <v>371</v>
      </c>
      <c r="I74" t="s">
        <v>4</v>
      </c>
      <c r="J74" t="s">
        <v>38</v>
      </c>
      <c r="K74" t="s">
        <v>372</v>
      </c>
      <c r="L74" t="s">
        <v>40</v>
      </c>
      <c r="M74">
        <v>3</v>
      </c>
    </row>
    <row r="75" spans="1:13">
      <c r="A75" t="s">
        <v>131</v>
      </c>
      <c r="B75">
        <v>74</v>
      </c>
      <c r="C75" t="s">
        <v>303</v>
      </c>
      <c r="E75" t="s">
        <v>373</v>
      </c>
      <c r="F75" s="13" t="s">
        <v>374</v>
      </c>
      <c r="G75" t="s">
        <v>375</v>
      </c>
      <c r="H75" t="s">
        <v>376</v>
      </c>
      <c r="I75" t="s">
        <v>4</v>
      </c>
      <c r="J75" t="s">
        <v>38</v>
      </c>
      <c r="K75" t="s">
        <v>377</v>
      </c>
      <c r="L75" t="s">
        <v>40</v>
      </c>
      <c r="M7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19151"/>
  </sheetPr>
  <dimension ref="A1:C30"/>
  <sheetViews>
    <sheetView showGridLines="0" workbookViewId="0">
      <selection activeCell="F7" sqref="E7:F9"/>
    </sheetView>
  </sheetViews>
  <sheetFormatPr defaultColWidth="8.85546875" defaultRowHeight="14.45"/>
  <cols>
    <col min="1" max="1" width="19.28515625" bestFit="1" customWidth="1"/>
    <col min="2" max="2" width="15.28515625" style="15" bestFit="1" customWidth="1"/>
    <col min="3" max="3" width="48.28515625" bestFit="1" customWidth="1"/>
  </cols>
  <sheetData>
    <row r="1" spans="1:3" ht="15.6">
      <c r="A1" s="47" t="s">
        <v>378</v>
      </c>
      <c r="B1" s="56"/>
      <c r="C1" s="57"/>
    </row>
    <row r="2" spans="1:3">
      <c r="A2" s="7" t="s">
        <v>379</v>
      </c>
      <c r="B2" s="7" t="s">
        <v>380</v>
      </c>
      <c r="C2" s="7" t="s">
        <v>381</v>
      </c>
    </row>
    <row r="3" spans="1:3">
      <c r="A3" s="24" t="s">
        <v>2</v>
      </c>
      <c r="B3" s="25">
        <f>COUNTA(Data_Helper!$C$2:$C$75)</f>
        <v>74</v>
      </c>
      <c r="C3" s="24" t="s">
        <v>382</v>
      </c>
    </row>
    <row r="4" spans="1:3">
      <c r="A4" s="24" t="s">
        <v>383</v>
      </c>
      <c r="B4" s="25">
        <f>SUM(Data_Helper!$Q$2:$Q$75)</f>
        <v>71</v>
      </c>
      <c r="C4" s="24" t="s">
        <v>384</v>
      </c>
    </row>
    <row r="5" spans="1:3">
      <c r="A5" s="24" t="s">
        <v>4</v>
      </c>
      <c r="B5" s="25">
        <f>SUM(Data_Helper!$N$2:$N$75)</f>
        <v>69</v>
      </c>
      <c r="C5" s="24" t="s">
        <v>385</v>
      </c>
    </row>
    <row r="6" spans="1:3">
      <c r="A6" s="24" t="s">
        <v>284</v>
      </c>
      <c r="B6" s="25">
        <f>COUNTIF(Data_Helper!$I$2:$I$75,"Under Review")</f>
        <v>1</v>
      </c>
      <c r="C6" s="24" t="s">
        <v>386</v>
      </c>
    </row>
    <row r="7" spans="1:3">
      <c r="A7" s="24" t="s">
        <v>130</v>
      </c>
      <c r="B7" s="25">
        <f>SUM(Data_Helper!$P$2:$P$75)</f>
        <v>4</v>
      </c>
      <c r="C7" s="24" t="s">
        <v>387</v>
      </c>
    </row>
    <row r="8" spans="1:3">
      <c r="A8" s="24" t="s">
        <v>388</v>
      </c>
      <c r="B8" s="25">
        <f>COUNTIF(Data_Helper!$I$2:$I$75,"")</f>
        <v>0</v>
      </c>
      <c r="C8" s="24" t="s">
        <v>389</v>
      </c>
    </row>
    <row r="9" spans="1:3">
      <c r="A9" s="24" t="s">
        <v>390</v>
      </c>
      <c r="B9" s="25">
        <f>SUM(Data_Helper!$R$2:$R$75)</f>
        <v>3</v>
      </c>
      <c r="C9" s="24" t="s">
        <v>391</v>
      </c>
    </row>
    <row r="10" spans="1:3">
      <c r="A10" s="24" t="s">
        <v>392</v>
      </c>
      <c r="B10" s="25">
        <f>SUM(Data_Helper!$S$2:$S$75)</f>
        <v>0</v>
      </c>
      <c r="C10" s="24" t="s">
        <v>393</v>
      </c>
    </row>
    <row r="11" spans="1:3">
      <c r="A11" s="24" t="s">
        <v>5</v>
      </c>
      <c r="B11" s="25">
        <f>SUM(Data_Helper!$T$2:$T$75)</f>
        <v>3</v>
      </c>
      <c r="C11" s="24" t="s">
        <v>394</v>
      </c>
    </row>
    <row r="12" spans="1:3">
      <c r="A12" s="24" t="s">
        <v>6</v>
      </c>
      <c r="B12" s="26">
        <f>B5/B3</f>
        <v>0.93243243243243246</v>
      </c>
      <c r="C12" s="24" t="s">
        <v>395</v>
      </c>
    </row>
    <row r="13" spans="1:3">
      <c r="A13" s="24" t="s">
        <v>7</v>
      </c>
      <c r="B13" s="25" t="str">
        <f>INDEX(Summary_Category!$A$3:$A$9,MATCH(MAX(Summary_Category!$B$3:$B$9),Summary_Category!$B$3:$B$9,0))</f>
        <v>กฎหมายคุ้มครองแรงงาน</v>
      </c>
      <c r="C13" s="24" t="s">
        <v>396</v>
      </c>
    </row>
    <row r="14" spans="1:3">
      <c r="A14" s="24" t="s">
        <v>397</v>
      </c>
      <c r="B14" s="25">
        <f>MAX(Summary_Category!$B$3:$B$9)</f>
        <v>28</v>
      </c>
      <c r="C14" s="24" t="s">
        <v>398</v>
      </c>
    </row>
    <row r="15" spans="1:3">
      <c r="A15" s="24"/>
      <c r="B15" s="25"/>
      <c r="C15" s="24"/>
    </row>
    <row r="16" spans="1:3">
      <c r="A16" s="24"/>
      <c r="B16" s="25"/>
      <c r="C16" s="24"/>
    </row>
    <row r="17" spans="1:3">
      <c r="A17" s="24"/>
      <c r="B17" s="25"/>
      <c r="C17" s="24"/>
    </row>
    <row r="18" spans="1:3">
      <c r="A18" s="24"/>
      <c r="B18" s="25"/>
      <c r="C18" s="24"/>
    </row>
    <row r="19" spans="1:3">
      <c r="A19" s="24"/>
      <c r="B19" s="25"/>
      <c r="C19" s="24"/>
    </row>
    <row r="20" spans="1:3">
      <c r="A20" s="24"/>
      <c r="B20" s="25"/>
      <c r="C20" s="24"/>
    </row>
    <row r="21" spans="1:3">
      <c r="A21" s="24"/>
      <c r="B21" s="25"/>
      <c r="C21" s="24"/>
    </row>
    <row r="22" spans="1:3">
      <c r="A22" s="24"/>
      <c r="B22" s="25"/>
      <c r="C22" s="24"/>
    </row>
    <row r="23" spans="1:3">
      <c r="A23" s="24"/>
      <c r="B23" s="25"/>
      <c r="C23" s="24"/>
    </row>
    <row r="24" spans="1:3">
      <c r="A24" s="24"/>
      <c r="B24" s="25"/>
      <c r="C24" s="24"/>
    </row>
    <row r="25" spans="1:3">
      <c r="A25" s="24"/>
      <c r="B25" s="25"/>
      <c r="C25" s="24"/>
    </row>
    <row r="26" spans="1:3">
      <c r="A26" s="24"/>
      <c r="B26" s="25"/>
      <c r="C26" s="24"/>
    </row>
    <row r="27" spans="1:3">
      <c r="A27" s="24"/>
      <c r="B27" s="25"/>
      <c r="C27" s="24"/>
    </row>
    <row r="28" spans="1:3">
      <c r="A28" s="24"/>
      <c r="B28" s="25"/>
      <c r="C28" s="24"/>
    </row>
    <row r="29" spans="1:3">
      <c r="A29" s="24"/>
      <c r="B29" s="25"/>
      <c r="C29" s="24"/>
    </row>
    <row r="30" spans="1:3">
      <c r="A30" s="24"/>
      <c r="B30" s="25"/>
      <c r="C30" s="24"/>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81D0"/>
  </sheetPr>
  <dimension ref="A1:I39"/>
  <sheetViews>
    <sheetView showGridLines="0" workbookViewId="0">
      <selection sqref="A1:XFD1048576"/>
    </sheetView>
  </sheetViews>
  <sheetFormatPr defaultColWidth="8.85546875" defaultRowHeight="14.45"/>
  <cols>
    <col min="1" max="1" width="46" customWidth="1"/>
    <col min="2" max="4" width="10" style="15" customWidth="1"/>
    <col min="5" max="7" width="12" style="15" customWidth="1"/>
    <col min="8" max="8" width="14" style="15" customWidth="1"/>
    <col min="9" max="9" width="28" customWidth="1"/>
  </cols>
  <sheetData>
    <row r="1" spans="1:9" ht="21" customHeight="1">
      <c r="A1" s="47" t="s">
        <v>399</v>
      </c>
      <c r="B1" s="56"/>
      <c r="C1" s="56"/>
      <c r="D1" s="56"/>
      <c r="E1" s="56"/>
      <c r="F1" s="56"/>
      <c r="G1" s="56"/>
      <c r="H1" s="56"/>
      <c r="I1" s="57"/>
    </row>
    <row r="2" spans="1:9" ht="15.95" customHeight="1">
      <c r="A2" s="7" t="s">
        <v>14</v>
      </c>
      <c r="B2" s="7" t="s">
        <v>400</v>
      </c>
      <c r="C2" s="7" t="s">
        <v>401</v>
      </c>
      <c r="D2" s="7" t="s">
        <v>40</v>
      </c>
      <c r="E2" s="7" t="s">
        <v>4</v>
      </c>
      <c r="F2" s="7" t="s">
        <v>284</v>
      </c>
      <c r="G2" s="7" t="s">
        <v>130</v>
      </c>
      <c r="H2" s="7" t="s">
        <v>5</v>
      </c>
      <c r="I2" s="7" t="s">
        <v>402</v>
      </c>
    </row>
    <row r="3" spans="1:9" ht="15.95" customHeight="1">
      <c r="A3" s="24" t="s">
        <v>96</v>
      </c>
      <c r="B3" s="25">
        <f>COUNTIF(Data_Helper!$D$2:$D$75,A3)</f>
        <v>28</v>
      </c>
      <c r="C3" s="26">
        <f>B3/Summary_KPI!$B$3</f>
        <v>0.3783783783783784</v>
      </c>
      <c r="D3" s="25">
        <f>COUNTIFS(Data_Helper!$D$2:$D$75,A3,Data_Helper!$K$2:$K$75,"Active")</f>
        <v>26</v>
      </c>
      <c r="E3" s="25">
        <f>COUNTIFS(Data_Helper!$D$2:$D$75,A3,Data_Helper!$I$2:$I$75,"Implemented")</f>
        <v>25</v>
      </c>
      <c r="F3" s="25">
        <f>COUNTIFS(Data_Helper!$D$2:$D$75,A3,Data_Helper!$I$2:$I$75,"Under Review")</f>
        <v>0</v>
      </c>
      <c r="G3" s="25">
        <f>COUNTIFS(Data_Helper!$D$2:$D$75,A3,Data_Helper!$I$2:$I$75,"Evaluated")</f>
        <v>3</v>
      </c>
      <c r="H3" s="25">
        <f>COUNTIFS(Data_Helper!$D$2:$D$75,A3,Data_Helper!$K$2:$K$75,"Active",Data_Helper!$I$2:$I$75,"&lt;&gt;Implemented")</f>
        <v>2</v>
      </c>
      <c r="I3" s="24" t="s">
        <v>403</v>
      </c>
    </row>
    <row r="4" spans="1:9" ht="15.95" customHeight="1">
      <c r="A4" s="24" t="s">
        <v>303</v>
      </c>
      <c r="B4" s="25">
        <f>COUNTIF(Data_Helper!$D$2:$D$75,A4)</f>
        <v>17</v>
      </c>
      <c r="C4" s="26">
        <f>B4/Summary_KPI!$B$3</f>
        <v>0.22972972972972974</v>
      </c>
      <c r="D4" s="25">
        <f>COUNTIFS(Data_Helper!$D$2:$D$75,A4,Data_Helper!$K$2:$K$75,"Active")</f>
        <v>17</v>
      </c>
      <c r="E4" s="25">
        <f>COUNTIFS(Data_Helper!$D$2:$D$75,A4,Data_Helper!$I$2:$I$75,"Implemented")</f>
        <v>17</v>
      </c>
      <c r="F4" s="25">
        <f>COUNTIFS(Data_Helper!$D$2:$D$75,A4,Data_Helper!$I$2:$I$75,"Under Review")</f>
        <v>0</v>
      </c>
      <c r="G4" s="25">
        <f>COUNTIFS(Data_Helper!$D$2:$D$75,A4,Data_Helper!$I$2:$I$75,"Evaluated")</f>
        <v>0</v>
      </c>
      <c r="H4" s="25">
        <f>COUNTIFS(Data_Helper!$D$2:$D$75,A4,Data_Helper!$K$2:$K$75,"Active",Data_Helper!$I$2:$I$75,"&lt;&gt;Implemented")</f>
        <v>0</v>
      </c>
      <c r="I4" s="24" t="s">
        <v>404</v>
      </c>
    </row>
    <row r="5" spans="1:9" ht="15.95" customHeight="1">
      <c r="A5" s="24" t="s">
        <v>34</v>
      </c>
      <c r="B5" s="25">
        <f>COUNTIF(Data_Helper!$D$2:$D$75,A5)</f>
        <v>15</v>
      </c>
      <c r="C5" s="26">
        <f>B5/Summary_KPI!$B$3</f>
        <v>0.20270270270270271</v>
      </c>
      <c r="D5" s="25">
        <f>COUNTIFS(Data_Helper!$D$2:$D$75,A5,Data_Helper!$K$2:$K$75,"Active")</f>
        <v>14</v>
      </c>
      <c r="E5" s="25">
        <f>COUNTIFS(Data_Helper!$D$2:$D$75,A5,Data_Helper!$I$2:$I$75,"Implemented")</f>
        <v>14</v>
      </c>
      <c r="F5" s="25">
        <f>COUNTIFS(Data_Helper!$D$2:$D$75,A5,Data_Helper!$I$2:$I$75,"Under Review")</f>
        <v>1</v>
      </c>
      <c r="G5" s="25">
        <f>COUNTIFS(Data_Helper!$D$2:$D$75,A5,Data_Helper!$I$2:$I$75,"Evaluated")</f>
        <v>0</v>
      </c>
      <c r="H5" s="25">
        <f>COUNTIFS(Data_Helper!$D$2:$D$75,A5,Data_Helper!$K$2:$K$75,"Active",Data_Helper!$I$2:$I$75,"&lt;&gt;Implemented")</f>
        <v>0</v>
      </c>
      <c r="I5" s="24" t="s">
        <v>405</v>
      </c>
    </row>
    <row r="6" spans="1:9" ht="15.95" customHeight="1">
      <c r="A6" s="24" t="s">
        <v>46</v>
      </c>
      <c r="B6" s="25">
        <f>COUNTIF(Data_Helper!$D$2:$D$75,A6)</f>
        <v>6</v>
      </c>
      <c r="C6" s="26">
        <f>B6/Summary_KPI!$B$3</f>
        <v>8.1081081081081086E-2</v>
      </c>
      <c r="D6" s="25">
        <f>COUNTIFS(Data_Helper!$D$2:$D$75,A6,Data_Helper!$K$2:$K$75,"Active")</f>
        <v>6</v>
      </c>
      <c r="E6" s="25">
        <f>COUNTIFS(Data_Helper!$D$2:$D$75,A6,Data_Helper!$I$2:$I$75,"Implemented")</f>
        <v>6</v>
      </c>
      <c r="F6" s="25">
        <f>COUNTIFS(Data_Helper!$D$2:$D$75,A6,Data_Helper!$I$2:$I$75,"Under Review")</f>
        <v>0</v>
      </c>
      <c r="G6" s="25">
        <f>COUNTIFS(Data_Helper!$D$2:$D$75,A6,Data_Helper!$I$2:$I$75,"Evaluated")</f>
        <v>0</v>
      </c>
      <c r="H6" s="25">
        <f>COUNTIFS(Data_Helper!$D$2:$D$75,A6,Data_Helper!$K$2:$K$75,"Active",Data_Helper!$I$2:$I$75,"&lt;&gt;Implemented")</f>
        <v>0</v>
      </c>
      <c r="I6" s="24" t="s">
        <v>406</v>
      </c>
    </row>
    <row r="7" spans="1:9" ht="15.95" customHeight="1">
      <c r="A7" s="24" t="s">
        <v>60</v>
      </c>
      <c r="B7" s="25">
        <f>COUNTIF(Data_Helper!$D$2:$D$75,A7)</f>
        <v>5</v>
      </c>
      <c r="C7" s="26">
        <f>B7/Summary_KPI!$B$3</f>
        <v>6.7567567567567571E-2</v>
      </c>
      <c r="D7" s="25">
        <f>COUNTIFS(Data_Helper!$D$2:$D$75,A7,Data_Helper!$K$2:$K$75,"Active")</f>
        <v>5</v>
      </c>
      <c r="E7" s="25">
        <f>COUNTIFS(Data_Helper!$D$2:$D$75,A7,Data_Helper!$I$2:$I$75,"Implemented")</f>
        <v>5</v>
      </c>
      <c r="F7" s="25">
        <f>COUNTIFS(Data_Helper!$D$2:$D$75,A7,Data_Helper!$I$2:$I$75,"Under Review")</f>
        <v>0</v>
      </c>
      <c r="G7" s="25">
        <f>COUNTIFS(Data_Helper!$D$2:$D$75,A7,Data_Helper!$I$2:$I$75,"Evaluated")</f>
        <v>0</v>
      </c>
      <c r="H7" s="25">
        <f>COUNTIFS(Data_Helper!$D$2:$D$75,A7,Data_Helper!$K$2:$K$75,"Active",Data_Helper!$I$2:$I$75,"&lt;&gt;Implemented")</f>
        <v>0</v>
      </c>
      <c r="I7" s="24" t="s">
        <v>404</v>
      </c>
    </row>
    <row r="8" spans="1:9" ht="15.95" customHeight="1">
      <c r="A8" s="24" t="s">
        <v>113</v>
      </c>
      <c r="B8" s="25">
        <f>COUNTIF(Data_Helper!$D$2:$D$75,A8)</f>
        <v>2</v>
      </c>
      <c r="C8" s="26">
        <f>B8/Summary_KPI!$B$3</f>
        <v>2.7027027027027029E-2</v>
      </c>
      <c r="D8" s="25">
        <f>COUNTIFS(Data_Helper!$D$2:$D$75,A8,Data_Helper!$K$2:$K$75,"Active")</f>
        <v>2</v>
      </c>
      <c r="E8" s="25">
        <f>COUNTIFS(Data_Helper!$D$2:$D$75,A8,Data_Helper!$I$2:$I$75,"Implemented")</f>
        <v>1</v>
      </c>
      <c r="F8" s="25">
        <f>COUNTIFS(Data_Helper!$D$2:$D$75,A8,Data_Helper!$I$2:$I$75,"Under Review")</f>
        <v>0</v>
      </c>
      <c r="G8" s="25">
        <f>COUNTIFS(Data_Helper!$D$2:$D$75,A8,Data_Helper!$I$2:$I$75,"Evaluated")</f>
        <v>1</v>
      </c>
      <c r="H8" s="25">
        <f>COUNTIFS(Data_Helper!$D$2:$D$75,A8,Data_Helper!$K$2:$K$75,"Active",Data_Helper!$I$2:$I$75,"&lt;&gt;Implemented")</f>
        <v>1</v>
      </c>
      <c r="I8" s="24" t="s">
        <v>407</v>
      </c>
    </row>
    <row r="9" spans="1:9">
      <c r="A9" s="24" t="s">
        <v>107</v>
      </c>
      <c r="B9" s="25">
        <f>COUNTIF(Data_Helper!$D$2:$D$75,A9)</f>
        <v>1</v>
      </c>
      <c r="C9" s="26">
        <f>B9/Summary_KPI!$B$3</f>
        <v>1.3513513513513514E-2</v>
      </c>
      <c r="D9" s="25">
        <f>COUNTIFS(Data_Helper!$D$2:$D$75,A9,Data_Helper!$K$2:$K$75,"Active")</f>
        <v>1</v>
      </c>
      <c r="E9" s="25">
        <f>COUNTIFS(Data_Helper!$D$2:$D$75,A9,Data_Helper!$I$2:$I$75,"Implemented")</f>
        <v>1</v>
      </c>
      <c r="F9" s="25">
        <f>COUNTIFS(Data_Helper!$D$2:$D$75,A9,Data_Helper!$I$2:$I$75,"Under Review")</f>
        <v>0</v>
      </c>
      <c r="G9" s="25">
        <f>COUNTIFS(Data_Helper!$D$2:$D$75,A9,Data_Helper!$I$2:$I$75,"Evaluated")</f>
        <v>0</v>
      </c>
      <c r="H9" s="25">
        <f>COUNTIFS(Data_Helper!$D$2:$D$75,A9,Data_Helper!$K$2:$K$75,"Active",Data_Helper!$I$2:$I$75,"&lt;&gt;Implemented")</f>
        <v>0</v>
      </c>
      <c r="I9" s="24" t="s">
        <v>404</v>
      </c>
    </row>
    <row r="10" spans="1:9">
      <c r="A10" s="24"/>
      <c r="B10" s="25"/>
      <c r="C10" s="25"/>
      <c r="D10" s="25"/>
      <c r="E10" s="25"/>
      <c r="F10" s="25"/>
      <c r="G10" s="25"/>
      <c r="H10" s="25"/>
      <c r="I10" s="24"/>
    </row>
    <row r="11" spans="1:9">
      <c r="A11" s="24"/>
      <c r="B11" s="25"/>
      <c r="C11" s="25"/>
      <c r="D11" s="25"/>
      <c r="E11" s="25"/>
      <c r="F11" s="25"/>
      <c r="G11" s="25"/>
      <c r="H11" s="25"/>
      <c r="I11" s="24"/>
    </row>
    <row r="12" spans="1:9">
      <c r="A12" s="24"/>
      <c r="B12" s="25"/>
      <c r="C12" s="25"/>
      <c r="D12" s="25"/>
      <c r="E12" s="25"/>
      <c r="F12" s="25"/>
      <c r="G12" s="25"/>
      <c r="H12" s="25"/>
      <c r="I12" s="24"/>
    </row>
    <row r="13" spans="1:9">
      <c r="A13" s="24"/>
      <c r="B13" s="25"/>
      <c r="C13" s="25"/>
      <c r="D13" s="25"/>
      <c r="E13" s="25"/>
      <c r="F13" s="25"/>
      <c r="G13" s="25"/>
      <c r="H13" s="25"/>
      <c r="I13" s="24"/>
    </row>
    <row r="14" spans="1:9">
      <c r="A14" s="24"/>
      <c r="B14" s="25"/>
      <c r="C14" s="25"/>
      <c r="D14" s="25"/>
      <c r="E14" s="25"/>
      <c r="F14" s="25"/>
      <c r="G14" s="25"/>
      <c r="H14" s="25"/>
      <c r="I14" s="24"/>
    </row>
    <row r="15" spans="1:9">
      <c r="A15" s="24"/>
      <c r="B15" s="25"/>
      <c r="C15" s="25"/>
      <c r="D15" s="25"/>
      <c r="E15" s="25"/>
      <c r="F15" s="25"/>
      <c r="G15" s="25"/>
      <c r="H15" s="25"/>
      <c r="I15" s="24"/>
    </row>
    <row r="16" spans="1:9">
      <c r="A16" s="24"/>
      <c r="B16" s="25"/>
      <c r="C16" s="25"/>
      <c r="D16" s="25"/>
      <c r="E16" s="25"/>
      <c r="F16" s="25"/>
      <c r="G16" s="25"/>
      <c r="H16" s="25"/>
      <c r="I16" s="24"/>
    </row>
    <row r="17" spans="1:9">
      <c r="A17" s="24"/>
      <c r="B17" s="25"/>
      <c r="C17" s="25"/>
      <c r="D17" s="25"/>
      <c r="E17" s="25"/>
      <c r="F17" s="25"/>
      <c r="G17" s="25"/>
      <c r="H17" s="25"/>
      <c r="I17" s="24"/>
    </row>
    <row r="18" spans="1:9">
      <c r="A18" s="24"/>
      <c r="B18" s="25"/>
      <c r="C18" s="25"/>
      <c r="D18" s="25"/>
      <c r="E18" s="25"/>
      <c r="F18" s="25"/>
      <c r="G18" s="25"/>
      <c r="H18" s="25"/>
      <c r="I18" s="24"/>
    </row>
    <row r="19" spans="1:9">
      <c r="A19" s="24"/>
      <c r="B19" s="25"/>
      <c r="C19" s="25"/>
      <c r="D19" s="25"/>
      <c r="E19" s="25"/>
      <c r="F19" s="25"/>
      <c r="G19" s="25"/>
      <c r="H19" s="25"/>
      <c r="I19" s="24"/>
    </row>
    <row r="20" spans="1:9">
      <c r="A20" s="24"/>
      <c r="B20" s="25"/>
      <c r="C20" s="25"/>
      <c r="D20" s="25"/>
      <c r="E20" s="25"/>
      <c r="F20" s="25"/>
      <c r="G20" s="25"/>
      <c r="H20" s="25"/>
      <c r="I20" s="24"/>
    </row>
    <row r="21" spans="1:9">
      <c r="A21" s="24"/>
      <c r="B21" s="25"/>
      <c r="C21" s="25"/>
      <c r="D21" s="25"/>
      <c r="E21" s="25"/>
      <c r="F21" s="25"/>
      <c r="G21" s="25"/>
      <c r="H21" s="25"/>
      <c r="I21" s="24"/>
    </row>
    <row r="22" spans="1:9">
      <c r="A22" s="24"/>
      <c r="B22" s="25"/>
      <c r="C22" s="25"/>
      <c r="D22" s="25"/>
      <c r="E22" s="25"/>
      <c r="F22" s="25"/>
      <c r="G22" s="25"/>
      <c r="H22" s="25"/>
      <c r="I22" s="24"/>
    </row>
    <row r="23" spans="1:9">
      <c r="A23" s="24"/>
      <c r="B23" s="25"/>
      <c r="C23" s="25"/>
      <c r="D23" s="25"/>
      <c r="E23" s="25"/>
      <c r="F23" s="25"/>
      <c r="G23" s="25"/>
      <c r="H23" s="25"/>
      <c r="I23" s="24"/>
    </row>
    <row r="24" spans="1:9">
      <c r="A24" s="24"/>
      <c r="B24" s="25"/>
      <c r="C24" s="25"/>
      <c r="D24" s="25"/>
      <c r="E24" s="25"/>
      <c r="F24" s="25"/>
      <c r="G24" s="25"/>
      <c r="H24" s="25"/>
      <c r="I24" s="24"/>
    </row>
    <row r="25" spans="1:9">
      <c r="A25" s="24"/>
      <c r="B25" s="25"/>
      <c r="C25" s="25"/>
      <c r="D25" s="25"/>
      <c r="E25" s="25"/>
      <c r="F25" s="25"/>
      <c r="G25" s="25"/>
      <c r="H25" s="25"/>
      <c r="I25" s="24"/>
    </row>
    <row r="26" spans="1:9">
      <c r="A26" s="24"/>
      <c r="B26" s="25"/>
      <c r="C26" s="25"/>
      <c r="D26" s="25"/>
      <c r="E26" s="25"/>
      <c r="F26" s="25"/>
      <c r="G26" s="25"/>
      <c r="H26" s="25"/>
      <c r="I26" s="24"/>
    </row>
    <row r="27" spans="1:9">
      <c r="A27" s="24"/>
      <c r="B27" s="25"/>
      <c r="C27" s="25"/>
      <c r="D27" s="25"/>
      <c r="E27" s="25"/>
      <c r="F27" s="25"/>
      <c r="G27" s="25"/>
      <c r="H27" s="25"/>
      <c r="I27" s="24"/>
    </row>
    <row r="28" spans="1:9">
      <c r="A28" s="24"/>
      <c r="B28" s="25"/>
      <c r="C28" s="25"/>
      <c r="D28" s="25"/>
      <c r="E28" s="25"/>
      <c r="F28" s="25"/>
      <c r="G28" s="25"/>
      <c r="H28" s="25"/>
      <c r="I28" s="24"/>
    </row>
    <row r="29" spans="1:9">
      <c r="A29" s="24"/>
      <c r="B29" s="25"/>
      <c r="C29" s="25"/>
      <c r="D29" s="25"/>
      <c r="E29" s="25"/>
      <c r="F29" s="25"/>
      <c r="G29" s="25"/>
      <c r="H29" s="25"/>
      <c r="I29" s="24"/>
    </row>
    <row r="30" spans="1:9">
      <c r="A30" s="24"/>
      <c r="B30" s="25"/>
      <c r="C30" s="25"/>
      <c r="D30" s="25"/>
      <c r="E30" s="25"/>
      <c r="F30" s="25"/>
      <c r="G30" s="25"/>
      <c r="H30" s="25"/>
      <c r="I30" s="24"/>
    </row>
    <row r="31" spans="1:9">
      <c r="A31" s="24"/>
      <c r="B31" s="25"/>
      <c r="C31" s="25"/>
      <c r="D31" s="25"/>
      <c r="E31" s="25"/>
      <c r="F31" s="25"/>
      <c r="G31" s="25"/>
      <c r="H31" s="25"/>
      <c r="I31" s="24"/>
    </row>
    <row r="32" spans="1:9">
      <c r="A32" s="24"/>
      <c r="B32" s="25"/>
      <c r="C32" s="25"/>
      <c r="D32" s="25"/>
      <c r="E32" s="25"/>
      <c r="F32" s="25"/>
      <c r="G32" s="25"/>
      <c r="H32" s="25"/>
      <c r="I32" s="24"/>
    </row>
    <row r="33" spans="1:9">
      <c r="A33" s="24"/>
      <c r="B33" s="25"/>
      <c r="C33" s="25"/>
      <c r="D33" s="25"/>
      <c r="E33" s="25"/>
      <c r="F33" s="25"/>
      <c r="G33" s="25"/>
      <c r="H33" s="25"/>
      <c r="I33" s="24"/>
    </row>
    <row r="34" spans="1:9">
      <c r="A34" s="24"/>
      <c r="B34" s="25"/>
      <c r="C34" s="25"/>
      <c r="D34" s="25"/>
      <c r="E34" s="25"/>
      <c r="F34" s="25"/>
      <c r="G34" s="25"/>
      <c r="H34" s="25"/>
      <c r="I34" s="24"/>
    </row>
    <row r="35" spans="1:9">
      <c r="A35" s="24"/>
      <c r="B35" s="25"/>
      <c r="C35" s="25"/>
      <c r="D35" s="25"/>
      <c r="E35" s="25"/>
      <c r="F35" s="25"/>
      <c r="G35" s="25"/>
      <c r="H35" s="25"/>
      <c r="I35" s="24"/>
    </row>
    <row r="36" spans="1:9">
      <c r="A36" s="24"/>
      <c r="B36" s="25"/>
      <c r="C36" s="25"/>
      <c r="D36" s="25"/>
      <c r="E36" s="25"/>
      <c r="F36" s="25"/>
      <c r="G36" s="25"/>
      <c r="H36" s="25"/>
      <c r="I36" s="24"/>
    </row>
    <row r="37" spans="1:9">
      <c r="A37" s="24"/>
      <c r="B37" s="25"/>
      <c r="C37" s="25"/>
      <c r="D37" s="25"/>
      <c r="E37" s="25"/>
      <c r="F37" s="25"/>
      <c r="G37" s="25"/>
      <c r="H37" s="25"/>
      <c r="I37" s="24"/>
    </row>
    <row r="38" spans="1:9">
      <c r="A38" s="24"/>
      <c r="B38" s="25"/>
      <c r="C38" s="25"/>
      <c r="D38" s="25"/>
      <c r="E38" s="25"/>
      <c r="F38" s="25"/>
      <c r="G38" s="25"/>
      <c r="H38" s="25"/>
      <c r="I38" s="24"/>
    </row>
    <row r="39" spans="1:9">
      <c r="A39" s="24"/>
      <c r="B39" s="25"/>
      <c r="C39" s="25"/>
      <c r="D39" s="25"/>
      <c r="E39" s="25"/>
      <c r="F39" s="25"/>
      <c r="G39" s="25"/>
      <c r="H39" s="25"/>
      <c r="I39" s="24"/>
    </row>
  </sheetData>
  <mergeCells count="1">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98C8B"/>
  </sheetPr>
  <dimension ref="A1:H119"/>
  <sheetViews>
    <sheetView showGridLines="0" workbookViewId="0">
      <selection activeCell="G9" sqref="G9"/>
    </sheetView>
  </sheetViews>
  <sheetFormatPr defaultColWidth="8.85546875" defaultRowHeight="14.45"/>
  <cols>
    <col min="1" max="1" width="5.28515625" bestFit="1" customWidth="1"/>
    <col min="2" max="2" width="6.42578125" bestFit="1" customWidth="1"/>
    <col min="3" max="3" width="4" customWidth="1"/>
    <col min="4" max="4" width="6.7109375" bestFit="1" customWidth="1"/>
    <col min="5" max="5" width="6.42578125" bestFit="1" customWidth="1"/>
    <col min="6" max="6" width="4" customWidth="1"/>
    <col min="7" max="7" width="55.85546875" bestFit="1" customWidth="1"/>
    <col min="8" max="8" width="4" customWidth="1"/>
  </cols>
  <sheetData>
    <row r="1" spans="1:8" ht="21" customHeight="1">
      <c r="A1" s="47" t="s">
        <v>408</v>
      </c>
      <c r="B1" s="56"/>
      <c r="C1" s="56"/>
      <c r="D1" s="56"/>
      <c r="E1" s="56"/>
      <c r="F1" s="56"/>
      <c r="G1" s="56"/>
      <c r="H1" s="57"/>
    </row>
    <row r="2" spans="1:8" ht="15.95" customHeight="1">
      <c r="A2" s="7" t="s">
        <v>74</v>
      </c>
      <c r="B2" s="7" t="s">
        <v>400</v>
      </c>
      <c r="C2" s="7"/>
      <c r="D2" s="7" t="s">
        <v>409</v>
      </c>
      <c r="E2" s="7" t="s">
        <v>400</v>
      </c>
      <c r="F2" s="7"/>
      <c r="G2" s="7" t="s">
        <v>410</v>
      </c>
      <c r="H2" s="7"/>
    </row>
    <row r="3" spans="1:8" ht="15.95" customHeight="1">
      <c r="A3" s="24">
        <v>1975</v>
      </c>
      <c r="B3" s="24">
        <f>COUNTIFS(Data_Helper!$F$2:$F$75,A3)</f>
        <v>0</v>
      </c>
      <c r="C3" s="24"/>
      <c r="D3" s="24" t="s">
        <v>411</v>
      </c>
      <c r="E3" s="24">
        <f>COUNTIFS(Data_Helper!$G$2:$G$75,D3)</f>
        <v>0</v>
      </c>
      <c r="F3" s="24"/>
      <c r="G3" s="24" t="s">
        <v>412</v>
      </c>
      <c r="H3" s="24"/>
    </row>
    <row r="4" spans="1:8" ht="15.95" customHeight="1">
      <c r="A4" s="24">
        <v>1994</v>
      </c>
      <c r="B4" s="24">
        <f>COUNTIFS(Data_Helper!$F$2:$F$75,A4)</f>
        <v>0</v>
      </c>
      <c r="C4" s="24"/>
      <c r="D4" s="24" t="s">
        <v>413</v>
      </c>
      <c r="E4" s="24">
        <f>COUNTIFS(Data_Helper!$G$2:$G$75,D4)</f>
        <v>0</v>
      </c>
      <c r="F4" s="24"/>
      <c r="G4" s="24" t="s">
        <v>414</v>
      </c>
      <c r="H4" s="24"/>
    </row>
    <row r="5" spans="1:8" ht="15.95" customHeight="1">
      <c r="A5" s="24">
        <v>1998</v>
      </c>
      <c r="B5" s="24">
        <f>COUNTIFS(Data_Helper!$F$2:$F$75,A5)</f>
        <v>0</v>
      </c>
      <c r="C5" s="24"/>
      <c r="D5" s="24" t="s">
        <v>415</v>
      </c>
      <c r="E5" s="24">
        <f>COUNTIFS(Data_Helper!$G$2:$G$75,D5)</f>
        <v>0</v>
      </c>
      <c r="F5" s="24"/>
      <c r="G5" s="24" t="s">
        <v>416</v>
      </c>
      <c r="H5" s="24"/>
    </row>
    <row r="6" spans="1:8" ht="15.95" customHeight="1">
      <c r="A6" s="24">
        <v>2000</v>
      </c>
      <c r="B6" s="24">
        <f>COUNTIFS(Data_Helper!$F$2:$F$75,A6)</f>
        <v>0</v>
      </c>
      <c r="C6" s="24"/>
      <c r="D6" s="24" t="s">
        <v>417</v>
      </c>
      <c r="E6" s="24">
        <f>COUNTIFS(Data_Helper!$G$2:$G$75,D6)</f>
        <v>0</v>
      </c>
      <c r="F6" s="24"/>
      <c r="G6" s="24"/>
      <c r="H6" s="24"/>
    </row>
    <row r="7" spans="1:8" ht="15.95" customHeight="1">
      <c r="A7" s="24">
        <v>2002</v>
      </c>
      <c r="B7" s="24">
        <f>COUNTIFS(Data_Helper!$F$2:$F$75,A7)</f>
        <v>0</v>
      </c>
      <c r="C7" s="24"/>
      <c r="D7" s="24" t="s">
        <v>418</v>
      </c>
      <c r="E7" s="24">
        <f>COUNTIFS(Data_Helper!$G$2:$G$75,D7)</f>
        <v>0</v>
      </c>
      <c r="F7" s="24"/>
      <c r="G7" s="24"/>
      <c r="H7" s="24"/>
    </row>
    <row r="8" spans="1:8" ht="15.95" customHeight="1">
      <c r="A8" s="24">
        <v>2004</v>
      </c>
      <c r="B8" s="24">
        <f>COUNTIFS(Data_Helper!$F$2:$F$75,A8)</f>
        <v>0</v>
      </c>
      <c r="C8" s="24"/>
      <c r="D8" s="24" t="s">
        <v>419</v>
      </c>
      <c r="E8" s="24">
        <f>COUNTIFS(Data_Helper!$G$2:$G$75,D8)</f>
        <v>0</v>
      </c>
      <c r="F8" s="24"/>
      <c r="G8" s="24"/>
      <c r="H8" s="24"/>
    </row>
    <row r="9" spans="1:8" ht="15.95" customHeight="1">
      <c r="A9" s="24">
        <v>2005</v>
      </c>
      <c r="B9" s="24">
        <f>COUNTIFS(Data_Helper!$F$2:$F$75,A9)</f>
        <v>0</v>
      </c>
      <c r="C9" s="24"/>
      <c r="D9" s="24" t="s">
        <v>420</v>
      </c>
      <c r="E9" s="24">
        <f>COUNTIFS(Data_Helper!$G$2:$G$75,D9)</f>
        <v>0</v>
      </c>
      <c r="F9" s="24"/>
      <c r="G9" s="24"/>
      <c r="H9" s="24"/>
    </row>
    <row r="10" spans="1:8" ht="15.95" customHeight="1">
      <c r="A10" s="24">
        <v>2008</v>
      </c>
      <c r="B10" s="24">
        <f>COUNTIFS(Data_Helper!$F$2:$F$75,A10)</f>
        <v>1</v>
      </c>
      <c r="C10" s="24"/>
      <c r="D10" s="24" t="s">
        <v>421</v>
      </c>
      <c r="E10" s="24">
        <f>COUNTIFS(Data_Helper!$G$2:$G$75,D10)</f>
        <v>0</v>
      </c>
      <c r="F10" s="24"/>
      <c r="G10" s="24"/>
      <c r="H10" s="24"/>
    </row>
    <row r="11" spans="1:8" ht="15.95" customHeight="1">
      <c r="A11" s="24">
        <v>2012</v>
      </c>
      <c r="B11" s="24">
        <f>COUNTIFS(Data_Helper!$F$2:$F$75,A11)</f>
        <v>1</v>
      </c>
      <c r="C11" s="24"/>
      <c r="D11" s="24" t="s">
        <v>422</v>
      </c>
      <c r="E11" s="24">
        <f>COUNTIFS(Data_Helper!$G$2:$G$75,D11)</f>
        <v>0</v>
      </c>
      <c r="F11" s="24"/>
      <c r="G11" s="24"/>
      <c r="H11" s="24"/>
    </row>
    <row r="12" spans="1:8" ht="15.95" customHeight="1">
      <c r="A12" s="24">
        <v>2013</v>
      </c>
      <c r="B12" s="24">
        <f>COUNTIFS(Data_Helper!$F$2:$F$75,A12)</f>
        <v>2</v>
      </c>
      <c r="C12" s="24"/>
      <c r="D12" s="24" t="s">
        <v>423</v>
      </c>
      <c r="E12" s="24">
        <f>COUNTIFS(Data_Helper!$G$2:$G$75,D12)</f>
        <v>1</v>
      </c>
      <c r="F12" s="24"/>
      <c r="G12" s="24"/>
      <c r="H12" s="24"/>
    </row>
    <row r="13" spans="1:8" ht="15.95" customHeight="1">
      <c r="A13" s="24">
        <v>2015</v>
      </c>
      <c r="B13" s="24">
        <f>COUNTIFS(Data_Helper!$F$2:$F$75,A13)</f>
        <v>0</v>
      </c>
      <c r="C13" s="24"/>
      <c r="D13" s="24" t="s">
        <v>424</v>
      </c>
      <c r="E13" s="24">
        <f>COUNTIFS(Data_Helper!$G$2:$G$75,D13)</f>
        <v>0</v>
      </c>
      <c r="F13" s="24"/>
      <c r="G13" s="24"/>
      <c r="H13" s="24"/>
    </row>
    <row r="14" spans="1:8" ht="15.95" customHeight="1">
      <c r="A14" s="24">
        <v>2016</v>
      </c>
      <c r="B14" s="24">
        <f>COUNTIFS(Data_Helper!$F$2:$F$75,A14)</f>
        <v>0</v>
      </c>
      <c r="C14" s="24"/>
      <c r="D14" s="24" t="s">
        <v>425</v>
      </c>
      <c r="E14" s="24">
        <f>COUNTIFS(Data_Helper!$G$2:$G$75,D14)</f>
        <v>1</v>
      </c>
      <c r="F14" s="24"/>
      <c r="G14" s="24"/>
      <c r="H14" s="24"/>
    </row>
    <row r="15" spans="1:8" ht="15.95" customHeight="1">
      <c r="A15" s="24">
        <v>2017</v>
      </c>
      <c r="B15" s="24">
        <f>COUNTIFS(Data_Helper!$F$2:$F$75,A15)</f>
        <v>0</v>
      </c>
      <c r="C15" s="24"/>
      <c r="D15" s="24" t="s">
        <v>426</v>
      </c>
      <c r="E15" s="24">
        <f>COUNTIFS(Data_Helper!$G$2:$G$75,D15)</f>
        <v>2</v>
      </c>
      <c r="F15" s="24"/>
      <c r="G15" s="24"/>
      <c r="H15" s="24"/>
    </row>
    <row r="16" spans="1:8" ht="15.95" customHeight="1">
      <c r="A16" s="24">
        <v>2018</v>
      </c>
      <c r="B16" s="24">
        <f>COUNTIFS(Data_Helper!$F$2:$F$75,A16)</f>
        <v>0</v>
      </c>
      <c r="C16" s="24"/>
      <c r="D16" s="24" t="s">
        <v>427</v>
      </c>
      <c r="E16" s="24">
        <f>COUNTIFS(Data_Helper!$G$2:$G$75,D16)</f>
        <v>0</v>
      </c>
      <c r="F16" s="24"/>
      <c r="G16" s="24"/>
      <c r="H16" s="24"/>
    </row>
    <row r="17" spans="1:8" ht="15.95" customHeight="1">
      <c r="A17" s="24">
        <v>2019</v>
      </c>
      <c r="B17" s="24">
        <f>COUNTIFS(Data_Helper!$F$2:$F$75,A17)</f>
        <v>2</v>
      </c>
      <c r="C17" s="24"/>
      <c r="D17" s="24" t="s">
        <v>428</v>
      </c>
      <c r="E17" s="24">
        <f>COUNTIFS(Data_Helper!$G$2:$G$75,D17)</f>
        <v>0</v>
      </c>
      <c r="F17" s="24"/>
      <c r="G17" s="24"/>
      <c r="H17" s="24"/>
    </row>
    <row r="18" spans="1:8" ht="15.95" customHeight="1">
      <c r="A18" s="24">
        <v>2020</v>
      </c>
      <c r="B18" s="24">
        <f>COUNTIFS(Data_Helper!$F$2:$F$75,A18)</f>
        <v>1</v>
      </c>
      <c r="C18" s="24"/>
      <c r="D18" s="24" t="s">
        <v>429</v>
      </c>
      <c r="E18" s="24">
        <f>COUNTIFS(Data_Helper!$G$2:$G$75,D18)</f>
        <v>0</v>
      </c>
      <c r="F18" s="24"/>
      <c r="G18" s="24"/>
      <c r="H18" s="24"/>
    </row>
    <row r="19" spans="1:8" ht="15.95" customHeight="1">
      <c r="A19" s="24">
        <v>2021</v>
      </c>
      <c r="B19" s="24">
        <f>COUNTIFS(Data_Helper!$F$2:$F$75,A19)</f>
        <v>5</v>
      </c>
      <c r="C19" s="24"/>
      <c r="D19" s="24" t="s">
        <v>430</v>
      </c>
      <c r="E19" s="24">
        <f>COUNTIFS(Data_Helper!$G$2:$G$75,D19)</f>
        <v>0</v>
      </c>
      <c r="F19" s="24"/>
      <c r="G19" s="24"/>
      <c r="H19" s="24"/>
    </row>
    <row r="20" spans="1:8" ht="15.95" customHeight="1">
      <c r="A20" s="24">
        <v>2022</v>
      </c>
      <c r="B20" s="24">
        <f>COUNTIFS(Data_Helper!$F$2:$F$75,A20)</f>
        <v>3</v>
      </c>
      <c r="C20" s="24"/>
      <c r="D20" s="24" t="s">
        <v>431</v>
      </c>
      <c r="E20" s="24">
        <f>COUNTIFS(Data_Helper!$G$2:$G$75,D20)</f>
        <v>0</v>
      </c>
      <c r="F20" s="24"/>
      <c r="G20" s="24"/>
      <c r="H20" s="24"/>
    </row>
    <row r="21" spans="1:8" ht="15.95" customHeight="1">
      <c r="A21" s="24">
        <v>2024</v>
      </c>
      <c r="B21" s="24">
        <f>COUNTIFS(Data_Helper!$F$2:$F$75,A21)</f>
        <v>0</v>
      </c>
      <c r="C21" s="24"/>
      <c r="D21" s="24" t="s">
        <v>432</v>
      </c>
      <c r="E21" s="24">
        <f>COUNTIFS(Data_Helper!$G$2:$G$75,D21)</f>
        <v>0</v>
      </c>
      <c r="F21" s="24"/>
      <c r="G21" s="24"/>
      <c r="H21" s="24"/>
    </row>
    <row r="22" spans="1:8" ht="15.95" customHeight="1">
      <c r="A22" s="24">
        <v>2025</v>
      </c>
      <c r="B22" s="24">
        <f>COUNTIFS(Data_Helper!$F$2:$F$75,A22)</f>
        <v>6</v>
      </c>
      <c r="C22" s="24"/>
      <c r="D22" s="24" t="s">
        <v>433</v>
      </c>
      <c r="E22" s="24">
        <f>COUNTIFS(Data_Helper!$G$2:$G$75,D22)</f>
        <v>0</v>
      </c>
      <c r="F22" s="24"/>
      <c r="G22" s="24"/>
      <c r="H22" s="24"/>
    </row>
    <row r="23" spans="1:8" ht="15.95" customHeight="1">
      <c r="A23" s="24">
        <v>2026</v>
      </c>
      <c r="B23" s="24">
        <f>COUNTIFS(Data_Helper!$F$2:$F$75,A23)</f>
        <v>4</v>
      </c>
      <c r="C23" s="24"/>
      <c r="D23" s="24" t="s">
        <v>434</v>
      </c>
      <c r="E23" s="24">
        <f>COUNTIFS(Data_Helper!$G$2:$G$75,D23)</f>
        <v>0</v>
      </c>
      <c r="F23" s="24"/>
      <c r="G23" s="24"/>
      <c r="H23" s="24"/>
    </row>
    <row r="24" spans="1:8" ht="15.95" customHeight="1">
      <c r="A24" s="24"/>
      <c r="B24" s="24"/>
      <c r="C24" s="24"/>
      <c r="D24" s="24" t="s">
        <v>435</v>
      </c>
      <c r="E24" s="24">
        <f>COUNTIFS(Data_Helper!$G$2:$G$75,D24)</f>
        <v>0</v>
      </c>
      <c r="F24" s="24"/>
      <c r="G24" s="24"/>
      <c r="H24" s="24"/>
    </row>
    <row r="25" spans="1:8" ht="15.95" customHeight="1">
      <c r="A25" s="24"/>
      <c r="B25" s="24"/>
      <c r="C25" s="24"/>
      <c r="D25" s="24" t="s">
        <v>436</v>
      </c>
      <c r="E25" s="24">
        <f>COUNTIFS(Data_Helper!$G$2:$G$75,D25)</f>
        <v>0</v>
      </c>
      <c r="F25" s="24"/>
      <c r="G25" s="24"/>
      <c r="H25" s="24"/>
    </row>
    <row r="26" spans="1:8" ht="15.95" customHeight="1">
      <c r="A26" s="24"/>
      <c r="B26" s="24"/>
      <c r="C26" s="24"/>
      <c r="D26" s="24" t="s">
        <v>437</v>
      </c>
      <c r="E26" s="24">
        <f>COUNTIFS(Data_Helper!$G$2:$G$75,D26)</f>
        <v>0</v>
      </c>
      <c r="F26" s="24"/>
      <c r="G26" s="24"/>
      <c r="H26" s="24"/>
    </row>
    <row r="27" spans="1:8" ht="15.95" customHeight="1">
      <c r="A27" s="24"/>
      <c r="B27" s="24"/>
      <c r="C27" s="24"/>
      <c r="D27" s="24" t="s">
        <v>438</v>
      </c>
      <c r="E27" s="24">
        <f>COUNTIFS(Data_Helper!$G$2:$G$75,D27)</f>
        <v>2</v>
      </c>
      <c r="F27" s="24"/>
      <c r="G27" s="24"/>
      <c r="H27" s="24"/>
    </row>
    <row r="28" spans="1:8" ht="15.95" customHeight="1">
      <c r="A28" s="24"/>
      <c r="B28" s="24"/>
      <c r="C28" s="24"/>
      <c r="D28" s="24" t="s">
        <v>439</v>
      </c>
      <c r="E28" s="24">
        <f>COUNTIFS(Data_Helper!$G$2:$G$75,D28)</f>
        <v>0</v>
      </c>
      <c r="F28" s="24"/>
      <c r="G28" s="24"/>
      <c r="H28" s="24"/>
    </row>
    <row r="29" spans="1:8" ht="15.95" customHeight="1">
      <c r="A29" s="24"/>
      <c r="B29" s="24"/>
      <c r="C29" s="24"/>
      <c r="D29" s="24" t="s">
        <v>440</v>
      </c>
      <c r="E29" s="24">
        <f>COUNTIFS(Data_Helper!$G$2:$G$75,D29)</f>
        <v>1</v>
      </c>
      <c r="F29" s="24"/>
      <c r="G29" s="24"/>
      <c r="H29" s="24"/>
    </row>
    <row r="30" spans="1:8" ht="15.95" customHeight="1">
      <c r="A30" s="24"/>
      <c r="B30" s="24"/>
      <c r="C30" s="24"/>
      <c r="D30" s="24" t="s">
        <v>441</v>
      </c>
      <c r="E30" s="24">
        <f>COUNTIFS(Data_Helper!$G$2:$G$75,D30)</f>
        <v>1</v>
      </c>
      <c r="F30" s="24"/>
      <c r="G30" s="24"/>
      <c r="H30" s="24"/>
    </row>
    <row r="31" spans="1:8" ht="15.95" customHeight="1">
      <c r="A31" s="24"/>
      <c r="B31" s="24"/>
      <c r="C31" s="24"/>
      <c r="D31" s="24" t="s">
        <v>442</v>
      </c>
      <c r="E31" s="24">
        <f>COUNTIFS(Data_Helper!$G$2:$G$75,D31)</f>
        <v>2</v>
      </c>
      <c r="F31" s="24"/>
      <c r="G31" s="24"/>
      <c r="H31" s="24"/>
    </row>
    <row r="32" spans="1:8" ht="15.95" customHeight="1">
      <c r="A32" s="24"/>
      <c r="B32" s="24"/>
      <c r="C32" s="24"/>
      <c r="D32" s="24" t="s">
        <v>443</v>
      </c>
      <c r="E32" s="24">
        <f>COUNTIFS(Data_Helper!$G$2:$G$75,D32)</f>
        <v>1</v>
      </c>
      <c r="F32" s="24"/>
      <c r="G32" s="24"/>
      <c r="H32" s="24"/>
    </row>
    <row r="33" spans="1:8" ht="15.95" customHeight="1">
      <c r="A33" s="24"/>
      <c r="B33" s="24"/>
      <c r="C33" s="24"/>
      <c r="D33" s="24" t="s">
        <v>444</v>
      </c>
      <c r="E33" s="24">
        <f>COUNTIFS(Data_Helper!$G$2:$G$75,D33)</f>
        <v>1</v>
      </c>
      <c r="F33" s="24"/>
      <c r="G33" s="24"/>
      <c r="H33" s="24"/>
    </row>
    <row r="34" spans="1:8" ht="15.95" customHeight="1">
      <c r="A34" s="24"/>
      <c r="B34" s="24"/>
      <c r="C34" s="24"/>
      <c r="D34" s="24" t="s">
        <v>445</v>
      </c>
      <c r="E34" s="24">
        <f>COUNTIFS(Data_Helper!$G$2:$G$75,D34)</f>
        <v>0</v>
      </c>
      <c r="F34" s="24"/>
      <c r="G34" s="24"/>
      <c r="H34" s="24"/>
    </row>
    <row r="35" spans="1:8" ht="15.95" customHeight="1">
      <c r="A35" s="24"/>
      <c r="B35" s="24"/>
      <c r="C35" s="24"/>
      <c r="D35" s="24" t="s">
        <v>446</v>
      </c>
      <c r="E35" s="24">
        <f>COUNTIFS(Data_Helper!$G$2:$G$75,D35)</f>
        <v>0</v>
      </c>
      <c r="F35" s="24"/>
      <c r="G35" s="24"/>
      <c r="H35" s="24"/>
    </row>
    <row r="36" spans="1:8" ht="15.95" customHeight="1">
      <c r="A36" s="24"/>
      <c r="B36" s="24"/>
      <c r="C36" s="24"/>
      <c r="D36" s="24" t="s">
        <v>447</v>
      </c>
      <c r="E36" s="24">
        <f>COUNTIFS(Data_Helper!$G$2:$G$75,D36)</f>
        <v>1</v>
      </c>
      <c r="F36" s="24"/>
      <c r="G36" s="24"/>
      <c r="H36" s="24"/>
    </row>
    <row r="37" spans="1:8" ht="15.95" customHeight="1">
      <c r="A37" s="24"/>
      <c r="B37" s="24"/>
      <c r="C37" s="24"/>
      <c r="D37" s="24" t="s">
        <v>448</v>
      </c>
      <c r="E37" s="24">
        <f>COUNTIFS(Data_Helper!$G$2:$G$75,D37)</f>
        <v>0</v>
      </c>
      <c r="F37" s="24"/>
      <c r="G37" s="24"/>
      <c r="H37" s="24"/>
    </row>
    <row r="38" spans="1:8">
      <c r="A38" s="24"/>
      <c r="B38" s="24"/>
      <c r="C38" s="24"/>
      <c r="D38" s="24" t="s">
        <v>449</v>
      </c>
      <c r="E38" s="24">
        <f>COUNTIFS(Data_Helper!$G$2:$G$75,D38)</f>
        <v>1</v>
      </c>
      <c r="F38" s="24"/>
      <c r="G38" s="24"/>
      <c r="H38" s="24"/>
    </row>
    <row r="39" spans="1:8">
      <c r="A39" s="24"/>
      <c r="B39" s="24"/>
      <c r="C39" s="24"/>
      <c r="D39" s="24" t="s">
        <v>450</v>
      </c>
      <c r="E39" s="24">
        <f>COUNTIFS(Data_Helper!$G$2:$G$75,D39)</f>
        <v>1</v>
      </c>
      <c r="F39" s="24"/>
      <c r="G39" s="24"/>
      <c r="H39" s="24"/>
    </row>
    <row r="40" spans="1:8">
      <c r="A40" s="24"/>
      <c r="B40" s="24"/>
      <c r="C40" s="24"/>
      <c r="D40" s="24" t="s">
        <v>451</v>
      </c>
      <c r="E40" s="24">
        <f>COUNTIFS(Data_Helper!$G$2:$G$75,D40)</f>
        <v>0</v>
      </c>
      <c r="F40" s="24"/>
      <c r="G40" s="24"/>
      <c r="H40" s="24"/>
    </row>
    <row r="41" spans="1:8">
      <c r="A41" s="24"/>
      <c r="B41" s="24"/>
      <c r="C41" s="24"/>
      <c r="D41" s="24" t="s">
        <v>452</v>
      </c>
      <c r="E41" s="24">
        <f>COUNTIFS(Data_Helper!$G$2:$G$75,D41)</f>
        <v>0</v>
      </c>
      <c r="F41" s="24"/>
      <c r="G41" s="24"/>
      <c r="H41" s="24"/>
    </row>
    <row r="42" spans="1:8">
      <c r="A42" s="24"/>
      <c r="B42" s="24"/>
      <c r="C42" s="24"/>
      <c r="D42" s="24" t="s">
        <v>453</v>
      </c>
      <c r="E42" s="24">
        <f>COUNTIFS(Data_Helper!$G$2:$G$75,D42)</f>
        <v>0</v>
      </c>
      <c r="F42" s="24"/>
      <c r="G42" s="24"/>
      <c r="H42" s="24"/>
    </row>
    <row r="43" spans="1:8">
      <c r="A43" s="24"/>
      <c r="B43" s="24"/>
      <c r="C43" s="24"/>
      <c r="D43" s="24" t="s">
        <v>454</v>
      </c>
      <c r="E43" s="24">
        <f>COUNTIFS(Data_Helper!$G$2:$G$75,D43)</f>
        <v>0</v>
      </c>
      <c r="F43" s="24"/>
      <c r="G43" s="24"/>
      <c r="H43" s="24"/>
    </row>
    <row r="44" spans="1:8">
      <c r="A44" s="24"/>
      <c r="B44" s="24"/>
      <c r="C44" s="24"/>
      <c r="D44" s="24" t="s">
        <v>455</v>
      </c>
      <c r="E44" s="24">
        <f>COUNTIFS(Data_Helper!$G$2:$G$75,D44)</f>
        <v>1</v>
      </c>
      <c r="F44" s="24"/>
      <c r="G44" s="24"/>
      <c r="H44" s="24"/>
    </row>
    <row r="45" spans="1:8">
      <c r="A45" s="24"/>
      <c r="B45" s="24"/>
      <c r="C45" s="24"/>
      <c r="D45" s="24" t="s">
        <v>456</v>
      </c>
      <c r="E45" s="24">
        <f>COUNTIFS(Data_Helper!$G$2:$G$75,D45)</f>
        <v>2</v>
      </c>
      <c r="F45" s="24"/>
      <c r="G45" s="24"/>
      <c r="H45" s="24"/>
    </row>
    <row r="46" spans="1:8">
      <c r="A46" s="24"/>
      <c r="B46" s="24"/>
      <c r="C46" s="24"/>
      <c r="D46" s="24" t="s">
        <v>457</v>
      </c>
      <c r="E46" s="24">
        <f>COUNTIFS(Data_Helper!$G$2:$G$75,D46)</f>
        <v>3</v>
      </c>
      <c r="F46" s="24"/>
      <c r="G46" s="24"/>
      <c r="H46" s="24"/>
    </row>
    <row r="47" spans="1:8">
      <c r="A47" s="24"/>
      <c r="B47" s="24"/>
      <c r="C47" s="24"/>
      <c r="D47" s="24" t="s">
        <v>458</v>
      </c>
      <c r="E47" s="24">
        <f>COUNTIFS(Data_Helper!$G$2:$G$75,D47)</f>
        <v>0</v>
      </c>
      <c r="F47" s="24"/>
      <c r="G47" s="24"/>
      <c r="H47" s="24"/>
    </row>
    <row r="48" spans="1:8">
      <c r="A48" s="24"/>
      <c r="B48" s="24"/>
      <c r="C48" s="24"/>
      <c r="D48" s="24" t="s">
        <v>459</v>
      </c>
      <c r="E48" s="24">
        <f>COUNTIFS(Data_Helper!$G$2:$G$75,D48)</f>
        <v>1</v>
      </c>
      <c r="F48" s="24"/>
      <c r="G48" s="24"/>
      <c r="H48" s="24"/>
    </row>
    <row r="49" spans="1:8">
      <c r="A49" s="24"/>
      <c r="B49" s="24"/>
      <c r="C49" s="24"/>
      <c r="D49" s="24" t="s">
        <v>460</v>
      </c>
      <c r="E49" s="24">
        <f>COUNTIFS(Data_Helper!$G$2:$G$75,D49)</f>
        <v>2</v>
      </c>
      <c r="F49" s="24"/>
      <c r="G49" s="24"/>
      <c r="H49" s="24"/>
    </row>
    <row r="50" spans="1:8">
      <c r="A50" s="24"/>
      <c r="B50" s="24"/>
      <c r="C50" s="24"/>
      <c r="D50" s="24" t="s">
        <v>461</v>
      </c>
      <c r="E50" s="24">
        <f>COUNTIFS(Data_Helper!$G$2:$G$75,D50)</f>
        <v>1</v>
      </c>
      <c r="F50" s="24"/>
      <c r="G50" s="24"/>
      <c r="H50" s="24"/>
    </row>
    <row r="51" spans="1:8">
      <c r="A51" s="24"/>
      <c r="B51" s="24"/>
      <c r="C51" s="24"/>
      <c r="D51" s="24"/>
      <c r="E51" s="24"/>
      <c r="F51" s="24"/>
      <c r="G51" s="24"/>
      <c r="H51" s="24"/>
    </row>
    <row r="52" spans="1:8">
      <c r="A52" s="24"/>
      <c r="B52" s="24"/>
      <c r="C52" s="24"/>
      <c r="D52" s="24"/>
      <c r="E52" s="24"/>
      <c r="F52" s="24"/>
      <c r="G52" s="24"/>
      <c r="H52" s="24"/>
    </row>
    <row r="53" spans="1:8">
      <c r="A53" s="24"/>
      <c r="B53" s="24"/>
      <c r="C53" s="24"/>
      <c r="D53" s="24"/>
      <c r="E53" s="24"/>
      <c r="F53" s="24"/>
      <c r="G53" s="24"/>
      <c r="H53" s="24"/>
    </row>
    <row r="54" spans="1:8">
      <c r="A54" s="24"/>
      <c r="B54" s="24"/>
      <c r="C54" s="24"/>
      <c r="D54" s="24"/>
      <c r="E54" s="24"/>
      <c r="F54" s="24"/>
      <c r="G54" s="24"/>
      <c r="H54" s="24"/>
    </row>
    <row r="55" spans="1:8">
      <c r="A55" s="24"/>
      <c r="B55" s="24"/>
      <c r="C55" s="24"/>
      <c r="D55" s="24"/>
      <c r="E55" s="24"/>
      <c r="F55" s="24"/>
      <c r="G55" s="24"/>
      <c r="H55" s="24"/>
    </row>
    <row r="56" spans="1:8">
      <c r="A56" s="24"/>
      <c r="B56" s="24"/>
      <c r="C56" s="24"/>
      <c r="D56" s="24"/>
      <c r="E56" s="24"/>
      <c r="F56" s="24"/>
      <c r="G56" s="24"/>
      <c r="H56" s="24"/>
    </row>
    <row r="57" spans="1:8">
      <c r="A57" s="24"/>
      <c r="B57" s="24"/>
      <c r="C57" s="24"/>
      <c r="D57" s="24"/>
      <c r="E57" s="24"/>
      <c r="F57" s="24"/>
      <c r="G57" s="24"/>
      <c r="H57" s="24"/>
    </row>
    <row r="58" spans="1:8">
      <c r="A58" s="24"/>
      <c r="B58" s="24"/>
      <c r="C58" s="24"/>
      <c r="D58" s="24"/>
      <c r="E58" s="24"/>
      <c r="F58" s="24"/>
      <c r="G58" s="24"/>
      <c r="H58" s="24"/>
    </row>
    <row r="59" spans="1:8">
      <c r="A59" s="24"/>
      <c r="B59" s="24"/>
      <c r="C59" s="24"/>
      <c r="D59" s="24"/>
      <c r="E59" s="24"/>
      <c r="F59" s="24"/>
      <c r="G59" s="24"/>
      <c r="H59" s="24"/>
    </row>
    <row r="60" spans="1:8">
      <c r="A60" s="24"/>
      <c r="B60" s="24"/>
      <c r="C60" s="24"/>
      <c r="D60" s="24"/>
      <c r="E60" s="24"/>
      <c r="F60" s="24"/>
      <c r="G60" s="24"/>
      <c r="H60" s="24"/>
    </row>
    <row r="61" spans="1:8">
      <c r="A61" s="24"/>
      <c r="B61" s="24"/>
      <c r="C61" s="24"/>
      <c r="D61" s="24"/>
      <c r="E61" s="24"/>
      <c r="F61" s="24"/>
      <c r="G61" s="24"/>
      <c r="H61" s="24"/>
    </row>
    <row r="62" spans="1:8">
      <c r="A62" s="24"/>
      <c r="B62" s="24"/>
      <c r="C62" s="24"/>
      <c r="D62" s="24"/>
      <c r="E62" s="24"/>
      <c r="F62" s="24"/>
      <c r="G62" s="24"/>
      <c r="H62" s="24"/>
    </row>
    <row r="63" spans="1:8">
      <c r="A63" s="24"/>
      <c r="B63" s="24"/>
      <c r="C63" s="24"/>
      <c r="D63" s="24"/>
      <c r="E63" s="24"/>
      <c r="F63" s="24"/>
      <c r="G63" s="24"/>
      <c r="H63" s="24"/>
    </row>
    <row r="64" spans="1:8">
      <c r="A64" s="24"/>
      <c r="B64" s="24"/>
      <c r="C64" s="24"/>
      <c r="D64" s="24"/>
      <c r="E64" s="24"/>
      <c r="F64" s="24"/>
      <c r="G64" s="24"/>
      <c r="H64" s="24"/>
    </row>
    <row r="65" spans="1:8">
      <c r="A65" s="24"/>
      <c r="B65" s="24"/>
      <c r="C65" s="24"/>
      <c r="D65" s="24"/>
      <c r="E65" s="24"/>
      <c r="F65" s="24"/>
      <c r="G65" s="24"/>
      <c r="H65" s="24"/>
    </row>
    <row r="66" spans="1:8">
      <c r="A66" s="24"/>
      <c r="B66" s="24"/>
      <c r="C66" s="24"/>
      <c r="D66" s="24"/>
      <c r="E66" s="24"/>
      <c r="F66" s="24"/>
      <c r="G66" s="24"/>
      <c r="H66" s="24"/>
    </row>
    <row r="67" spans="1:8">
      <c r="A67" s="24"/>
      <c r="B67" s="24"/>
      <c r="C67" s="24"/>
      <c r="D67" s="24"/>
      <c r="E67" s="24"/>
      <c r="F67" s="24"/>
      <c r="G67" s="24"/>
      <c r="H67" s="24"/>
    </row>
    <row r="68" spans="1:8">
      <c r="A68" s="24"/>
      <c r="B68" s="24"/>
      <c r="C68" s="24"/>
      <c r="D68" s="24"/>
      <c r="E68" s="24"/>
      <c r="F68" s="24"/>
      <c r="G68" s="24"/>
      <c r="H68" s="24"/>
    </row>
    <row r="69" spans="1:8">
      <c r="A69" s="24"/>
      <c r="B69" s="24"/>
      <c r="C69" s="24"/>
      <c r="D69" s="24"/>
      <c r="E69" s="24"/>
      <c r="F69" s="24"/>
      <c r="G69" s="24"/>
      <c r="H69" s="24"/>
    </row>
    <row r="70" spans="1:8">
      <c r="A70" s="24"/>
      <c r="B70" s="24"/>
      <c r="C70" s="24"/>
      <c r="D70" s="24"/>
      <c r="E70" s="24"/>
      <c r="F70" s="24"/>
      <c r="G70" s="24"/>
      <c r="H70" s="24"/>
    </row>
    <row r="71" spans="1:8">
      <c r="A71" s="24"/>
      <c r="B71" s="24"/>
      <c r="C71" s="24"/>
      <c r="D71" s="24"/>
      <c r="E71" s="24"/>
      <c r="F71" s="24"/>
      <c r="G71" s="24"/>
      <c r="H71" s="24"/>
    </row>
    <row r="72" spans="1:8">
      <c r="A72" s="24"/>
      <c r="B72" s="24"/>
      <c r="C72" s="24"/>
      <c r="D72" s="24"/>
      <c r="E72" s="24"/>
      <c r="F72" s="24"/>
      <c r="G72" s="24"/>
      <c r="H72" s="24"/>
    </row>
    <row r="73" spans="1:8">
      <c r="A73" s="24"/>
      <c r="B73" s="24"/>
      <c r="C73" s="24"/>
      <c r="D73" s="24"/>
      <c r="E73" s="24"/>
      <c r="F73" s="24"/>
      <c r="G73" s="24"/>
      <c r="H73" s="24"/>
    </row>
    <row r="74" spans="1:8">
      <c r="A74" s="24"/>
      <c r="B74" s="24"/>
      <c r="C74" s="24"/>
      <c r="D74" s="24"/>
      <c r="E74" s="24"/>
      <c r="F74" s="24"/>
      <c r="G74" s="24"/>
      <c r="H74" s="24"/>
    </row>
    <row r="75" spans="1:8">
      <c r="A75" s="24"/>
      <c r="B75" s="24"/>
      <c r="C75" s="24"/>
      <c r="D75" s="24"/>
      <c r="E75" s="24"/>
      <c r="F75" s="24"/>
      <c r="G75" s="24"/>
      <c r="H75" s="24"/>
    </row>
    <row r="76" spans="1:8">
      <c r="A76" s="24"/>
      <c r="B76" s="24"/>
      <c r="C76" s="24"/>
      <c r="D76" s="24"/>
      <c r="E76" s="24"/>
      <c r="F76" s="24"/>
      <c r="G76" s="24"/>
      <c r="H76" s="24"/>
    </row>
    <row r="77" spans="1:8">
      <c r="A77" s="24"/>
      <c r="B77" s="24"/>
      <c r="C77" s="24"/>
      <c r="D77" s="24"/>
      <c r="E77" s="24"/>
      <c r="F77" s="24"/>
      <c r="G77" s="24"/>
      <c r="H77" s="24"/>
    </row>
    <row r="78" spans="1:8">
      <c r="A78" s="24"/>
      <c r="B78" s="24"/>
      <c r="C78" s="24"/>
      <c r="D78" s="24"/>
      <c r="E78" s="24"/>
      <c r="F78" s="24"/>
      <c r="G78" s="24"/>
      <c r="H78" s="24"/>
    </row>
    <row r="79" spans="1:8">
      <c r="A79" s="24"/>
      <c r="B79" s="24"/>
      <c r="C79" s="24"/>
      <c r="D79" s="24"/>
      <c r="E79" s="24"/>
      <c r="F79" s="24"/>
      <c r="G79" s="24"/>
      <c r="H79" s="24"/>
    </row>
    <row r="80" spans="1:8">
      <c r="A80" s="24"/>
      <c r="B80" s="24"/>
      <c r="C80" s="24"/>
      <c r="D80" s="24"/>
      <c r="E80" s="24"/>
      <c r="F80" s="24"/>
      <c r="G80" s="24"/>
      <c r="H80" s="24"/>
    </row>
    <row r="81" spans="1:8">
      <c r="A81" s="24"/>
      <c r="B81" s="24"/>
      <c r="C81" s="24"/>
      <c r="D81" s="24"/>
      <c r="E81" s="24"/>
      <c r="F81" s="24"/>
      <c r="G81" s="24"/>
      <c r="H81" s="24"/>
    </row>
    <row r="82" spans="1:8">
      <c r="A82" s="24"/>
      <c r="B82" s="24"/>
      <c r="C82" s="24"/>
      <c r="D82" s="24"/>
      <c r="E82" s="24"/>
      <c r="F82" s="24"/>
      <c r="G82" s="24"/>
      <c r="H82" s="24"/>
    </row>
    <row r="83" spans="1:8">
      <c r="A83" s="24"/>
      <c r="B83" s="24"/>
      <c r="C83" s="24"/>
      <c r="D83" s="24"/>
      <c r="E83" s="24"/>
      <c r="F83" s="24"/>
      <c r="G83" s="24"/>
      <c r="H83" s="24"/>
    </row>
    <row r="84" spans="1:8">
      <c r="A84" s="24"/>
      <c r="B84" s="24"/>
      <c r="C84" s="24"/>
      <c r="D84" s="24"/>
      <c r="E84" s="24"/>
      <c r="F84" s="24"/>
      <c r="G84" s="24"/>
      <c r="H84" s="24"/>
    </row>
    <row r="85" spans="1:8">
      <c r="A85" s="24"/>
      <c r="B85" s="24"/>
      <c r="C85" s="24"/>
      <c r="D85" s="24"/>
      <c r="E85" s="24"/>
      <c r="F85" s="24"/>
      <c r="G85" s="24"/>
      <c r="H85" s="24"/>
    </row>
    <row r="86" spans="1:8">
      <c r="A86" s="24"/>
      <c r="B86" s="24"/>
      <c r="C86" s="24"/>
      <c r="D86" s="24"/>
      <c r="E86" s="24"/>
      <c r="F86" s="24"/>
      <c r="G86" s="24"/>
      <c r="H86" s="24"/>
    </row>
    <row r="87" spans="1:8">
      <c r="A87" s="24"/>
      <c r="B87" s="24"/>
      <c r="C87" s="24"/>
      <c r="D87" s="24"/>
      <c r="E87" s="24"/>
      <c r="F87" s="24"/>
      <c r="G87" s="24"/>
      <c r="H87" s="24"/>
    </row>
    <row r="88" spans="1:8">
      <c r="A88" s="24"/>
      <c r="B88" s="24"/>
      <c r="C88" s="24"/>
      <c r="D88" s="24"/>
      <c r="E88" s="24"/>
      <c r="F88" s="24"/>
      <c r="G88" s="24"/>
      <c r="H88" s="24"/>
    </row>
    <row r="89" spans="1:8">
      <c r="A89" s="24"/>
      <c r="B89" s="24"/>
      <c r="C89" s="24"/>
      <c r="D89" s="24"/>
      <c r="E89" s="24"/>
      <c r="F89" s="24"/>
      <c r="G89" s="24"/>
      <c r="H89" s="24"/>
    </row>
    <row r="90" spans="1:8">
      <c r="A90" s="24"/>
      <c r="B90" s="24"/>
      <c r="C90" s="24"/>
      <c r="D90" s="24"/>
      <c r="E90" s="24"/>
      <c r="F90" s="24"/>
      <c r="G90" s="24"/>
      <c r="H90" s="24"/>
    </row>
    <row r="91" spans="1:8">
      <c r="A91" s="24"/>
      <c r="B91" s="24"/>
      <c r="C91" s="24"/>
      <c r="D91" s="24"/>
      <c r="E91" s="24"/>
      <c r="F91" s="24"/>
      <c r="G91" s="24"/>
      <c r="H91" s="24"/>
    </row>
    <row r="92" spans="1:8">
      <c r="A92" s="24"/>
      <c r="B92" s="24"/>
      <c r="C92" s="24"/>
      <c r="D92" s="24"/>
      <c r="E92" s="24"/>
      <c r="F92" s="24"/>
      <c r="G92" s="24"/>
      <c r="H92" s="24"/>
    </row>
    <row r="93" spans="1:8">
      <c r="A93" s="24"/>
      <c r="B93" s="24"/>
      <c r="C93" s="24"/>
      <c r="D93" s="24"/>
      <c r="E93" s="24"/>
      <c r="F93" s="24"/>
      <c r="G93" s="24"/>
      <c r="H93" s="24"/>
    </row>
    <row r="94" spans="1:8">
      <c r="A94" s="24"/>
      <c r="B94" s="24"/>
      <c r="C94" s="24"/>
      <c r="D94" s="24"/>
      <c r="E94" s="24"/>
      <c r="F94" s="24"/>
      <c r="G94" s="24"/>
      <c r="H94" s="24"/>
    </row>
    <row r="95" spans="1:8">
      <c r="A95" s="24"/>
      <c r="B95" s="24"/>
      <c r="C95" s="24"/>
      <c r="D95" s="24"/>
      <c r="E95" s="24"/>
      <c r="F95" s="24"/>
      <c r="G95" s="24"/>
      <c r="H95" s="24"/>
    </row>
    <row r="96" spans="1:8">
      <c r="A96" s="24"/>
      <c r="B96" s="24"/>
      <c r="C96" s="24"/>
      <c r="D96" s="24"/>
      <c r="E96" s="24"/>
      <c r="F96" s="24"/>
      <c r="G96" s="24"/>
      <c r="H96" s="24"/>
    </row>
    <row r="97" spans="1:8">
      <c r="A97" s="24"/>
      <c r="B97" s="24"/>
      <c r="C97" s="24"/>
      <c r="D97" s="24"/>
      <c r="E97" s="24"/>
      <c r="F97" s="24"/>
      <c r="G97" s="24"/>
      <c r="H97" s="24"/>
    </row>
    <row r="98" spans="1:8">
      <c r="A98" s="24"/>
      <c r="B98" s="24"/>
      <c r="C98" s="24"/>
      <c r="D98" s="24"/>
      <c r="E98" s="24"/>
      <c r="F98" s="24"/>
      <c r="G98" s="24"/>
      <c r="H98" s="24"/>
    </row>
    <row r="99" spans="1:8">
      <c r="A99" s="24"/>
      <c r="B99" s="24"/>
      <c r="C99" s="24"/>
      <c r="D99" s="24"/>
      <c r="E99" s="24"/>
      <c r="F99" s="24"/>
      <c r="G99" s="24"/>
      <c r="H99" s="24"/>
    </row>
    <row r="100" spans="1:8">
      <c r="A100" s="24"/>
      <c r="B100" s="24"/>
      <c r="C100" s="24"/>
      <c r="D100" s="24"/>
      <c r="E100" s="24"/>
      <c r="F100" s="24"/>
      <c r="G100" s="24"/>
      <c r="H100" s="24"/>
    </row>
    <row r="101" spans="1:8">
      <c r="A101" s="24"/>
      <c r="B101" s="24"/>
      <c r="C101" s="24"/>
      <c r="D101" s="24"/>
      <c r="E101" s="24"/>
      <c r="F101" s="24"/>
      <c r="G101" s="24"/>
      <c r="H101" s="24"/>
    </row>
    <row r="102" spans="1:8">
      <c r="A102" s="24"/>
      <c r="B102" s="24"/>
      <c r="C102" s="24"/>
      <c r="D102" s="24"/>
      <c r="E102" s="24"/>
      <c r="F102" s="24"/>
      <c r="G102" s="24"/>
      <c r="H102" s="24"/>
    </row>
    <row r="103" spans="1:8">
      <c r="A103" s="24"/>
      <c r="B103" s="24"/>
      <c r="C103" s="24"/>
      <c r="D103" s="24"/>
      <c r="E103" s="24"/>
      <c r="F103" s="24"/>
      <c r="G103" s="24"/>
      <c r="H103" s="24"/>
    </row>
    <row r="104" spans="1:8">
      <c r="A104" s="24"/>
      <c r="B104" s="24"/>
      <c r="C104" s="24"/>
      <c r="D104" s="24"/>
      <c r="E104" s="24"/>
      <c r="F104" s="24"/>
      <c r="G104" s="24"/>
      <c r="H104" s="24"/>
    </row>
    <row r="105" spans="1:8">
      <c r="A105" s="24"/>
      <c r="B105" s="24"/>
      <c r="C105" s="24"/>
      <c r="D105" s="24"/>
      <c r="E105" s="24"/>
      <c r="F105" s="24"/>
      <c r="G105" s="24"/>
      <c r="H105" s="24"/>
    </row>
    <row r="106" spans="1:8">
      <c r="A106" s="24"/>
      <c r="B106" s="24"/>
      <c r="C106" s="24"/>
      <c r="D106" s="24"/>
      <c r="E106" s="24"/>
      <c r="F106" s="24"/>
      <c r="G106" s="24"/>
      <c r="H106" s="24"/>
    </row>
    <row r="107" spans="1:8">
      <c r="A107" s="24"/>
      <c r="B107" s="24"/>
      <c r="C107" s="24"/>
      <c r="D107" s="24"/>
      <c r="E107" s="24"/>
      <c r="F107" s="24"/>
      <c r="G107" s="24"/>
      <c r="H107" s="24"/>
    </row>
    <row r="108" spans="1:8">
      <c r="A108" s="24"/>
      <c r="B108" s="24"/>
      <c r="C108" s="24"/>
      <c r="D108" s="24"/>
      <c r="E108" s="24"/>
      <c r="F108" s="24"/>
      <c r="G108" s="24"/>
      <c r="H108" s="24"/>
    </row>
    <row r="109" spans="1:8">
      <c r="A109" s="24"/>
      <c r="B109" s="24"/>
      <c r="C109" s="24"/>
      <c r="D109" s="24"/>
      <c r="E109" s="24"/>
      <c r="F109" s="24"/>
      <c r="G109" s="24"/>
      <c r="H109" s="24"/>
    </row>
    <row r="110" spans="1:8">
      <c r="A110" s="24"/>
      <c r="B110" s="24"/>
      <c r="C110" s="24"/>
      <c r="D110" s="24"/>
      <c r="E110" s="24"/>
      <c r="F110" s="24"/>
      <c r="G110" s="24"/>
      <c r="H110" s="24"/>
    </row>
    <row r="111" spans="1:8">
      <c r="A111" s="24"/>
      <c r="B111" s="24"/>
      <c r="C111" s="24"/>
      <c r="D111" s="24"/>
      <c r="E111" s="24"/>
      <c r="F111" s="24"/>
      <c r="G111" s="24"/>
      <c r="H111" s="24"/>
    </row>
    <row r="112" spans="1:8">
      <c r="A112" s="24"/>
      <c r="B112" s="24"/>
      <c r="C112" s="24"/>
      <c r="D112" s="24"/>
      <c r="E112" s="24"/>
      <c r="F112" s="24"/>
      <c r="G112" s="24"/>
      <c r="H112" s="24"/>
    </row>
    <row r="113" spans="1:8">
      <c r="A113" s="24"/>
      <c r="B113" s="24"/>
      <c r="C113" s="24"/>
      <c r="D113" s="24"/>
      <c r="E113" s="24"/>
      <c r="F113" s="24"/>
      <c r="G113" s="24"/>
      <c r="H113" s="24"/>
    </row>
    <row r="114" spans="1:8">
      <c r="A114" s="24"/>
      <c r="B114" s="24"/>
      <c r="C114" s="24"/>
      <c r="D114" s="24"/>
      <c r="E114" s="24"/>
      <c r="F114" s="24"/>
      <c r="G114" s="24"/>
      <c r="H114" s="24"/>
    </row>
    <row r="115" spans="1:8">
      <c r="A115" s="24"/>
      <c r="B115" s="24"/>
      <c r="C115" s="24"/>
      <c r="D115" s="24"/>
      <c r="E115" s="24"/>
      <c r="F115" s="24"/>
      <c r="G115" s="24"/>
      <c r="H115" s="24"/>
    </row>
    <row r="116" spans="1:8">
      <c r="A116" s="24"/>
      <c r="B116" s="24"/>
      <c r="C116" s="24"/>
      <c r="D116" s="24"/>
      <c r="E116" s="24"/>
      <c r="F116" s="24"/>
      <c r="G116" s="24"/>
      <c r="H116" s="24"/>
    </row>
    <row r="117" spans="1:8">
      <c r="A117" s="24"/>
      <c r="B117" s="24"/>
      <c r="C117" s="24"/>
      <c r="D117" s="24"/>
      <c r="E117" s="24"/>
      <c r="F117" s="24"/>
      <c r="G117" s="24"/>
      <c r="H117" s="24"/>
    </row>
    <row r="118" spans="1:8">
      <c r="A118" s="24"/>
      <c r="B118" s="24"/>
      <c r="C118" s="24"/>
      <c r="D118" s="24"/>
      <c r="E118" s="24"/>
      <c r="F118" s="24"/>
      <c r="G118" s="24"/>
      <c r="H118" s="24"/>
    </row>
    <row r="119" spans="1:8">
      <c r="A119" s="24"/>
      <c r="B119" s="24"/>
      <c r="C119" s="24"/>
      <c r="D119" s="24"/>
      <c r="E119" s="24"/>
      <c r="F119" s="24"/>
      <c r="G119" s="24"/>
      <c r="H119" s="24"/>
    </row>
  </sheetData>
  <mergeCells count="1">
    <mergeCell ref="A1:H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00036"/>
  </sheetPr>
  <dimension ref="A1:G49"/>
  <sheetViews>
    <sheetView showGridLines="0" workbookViewId="0">
      <selection activeCell="B9" sqref="B9"/>
    </sheetView>
  </sheetViews>
  <sheetFormatPr defaultColWidth="8.85546875" defaultRowHeight="14.45"/>
  <cols>
    <col min="1" max="1" width="8" customWidth="1"/>
    <col min="2" max="2" width="87.140625" customWidth="1"/>
    <col min="3" max="3" width="25" customWidth="1"/>
    <col min="4" max="4" width="16" customWidth="1"/>
    <col min="5" max="5" width="12" customWidth="1"/>
    <col min="6" max="6" width="34" customWidth="1"/>
    <col min="7" max="7" width="18" customWidth="1"/>
  </cols>
  <sheetData>
    <row r="1" spans="1:7" ht="15.6">
      <c r="A1" s="47" t="s">
        <v>462</v>
      </c>
      <c r="B1" s="56"/>
      <c r="C1" s="56"/>
      <c r="D1" s="56"/>
      <c r="E1" s="56"/>
      <c r="F1" s="56"/>
      <c r="G1" s="57"/>
    </row>
    <row r="2" spans="1:7">
      <c r="A2" s="7" t="s">
        <v>463</v>
      </c>
      <c r="B2" s="7" t="s">
        <v>464</v>
      </c>
      <c r="C2" s="7" t="s">
        <v>465</v>
      </c>
      <c r="D2" s="7" t="s">
        <v>466</v>
      </c>
      <c r="E2" s="7" t="s">
        <v>16</v>
      </c>
      <c r="F2" s="7" t="s">
        <v>467</v>
      </c>
      <c r="G2" s="7" t="s">
        <v>468</v>
      </c>
    </row>
    <row r="3" spans="1:7">
      <c r="A3" s="24">
        <v>1</v>
      </c>
      <c r="B3" s="24" t="s">
        <v>126</v>
      </c>
      <c r="C3" s="24" t="s">
        <v>96</v>
      </c>
      <c r="D3" s="24" t="s">
        <v>130</v>
      </c>
      <c r="E3" s="24" t="s">
        <v>40</v>
      </c>
      <c r="F3" s="24" t="s">
        <v>469</v>
      </c>
      <c r="G3" s="24" t="s">
        <v>470</v>
      </c>
    </row>
    <row r="4" spans="1:7">
      <c r="A4" s="24">
        <v>2</v>
      </c>
      <c r="B4" s="24" t="s">
        <v>132</v>
      </c>
      <c r="C4" s="24" t="s">
        <v>96</v>
      </c>
      <c r="D4" s="24" t="s">
        <v>130</v>
      </c>
      <c r="E4" s="24" t="s">
        <v>40</v>
      </c>
      <c r="F4" s="24" t="s">
        <v>469</v>
      </c>
      <c r="G4" s="24" t="s">
        <v>470</v>
      </c>
    </row>
    <row r="5" spans="1:7">
      <c r="A5" s="24">
        <v>3</v>
      </c>
      <c r="B5" s="24" t="s">
        <v>145</v>
      </c>
      <c r="C5" s="24" t="s">
        <v>113</v>
      </c>
      <c r="D5" s="24" t="s">
        <v>130</v>
      </c>
      <c r="E5" s="24" t="s">
        <v>40</v>
      </c>
      <c r="F5" s="24" t="s">
        <v>469</v>
      </c>
      <c r="G5" s="24" t="s">
        <v>470</v>
      </c>
    </row>
    <row r="6" spans="1:7" s="28" customFormat="1">
      <c r="A6" s="27">
        <v>4</v>
      </c>
      <c r="B6" s="27" t="s">
        <v>136</v>
      </c>
      <c r="C6" s="27" t="s">
        <v>96</v>
      </c>
      <c r="D6" s="27" t="s">
        <v>4</v>
      </c>
      <c r="E6" s="27" t="s">
        <v>140</v>
      </c>
      <c r="F6" s="27" t="s">
        <v>471</v>
      </c>
      <c r="G6" s="27" t="s">
        <v>472</v>
      </c>
    </row>
    <row r="7" spans="1:7" s="28" customFormat="1">
      <c r="A7" s="27">
        <v>5</v>
      </c>
      <c r="B7" s="27" t="s">
        <v>141</v>
      </c>
      <c r="C7" s="27" t="s">
        <v>96</v>
      </c>
      <c r="D7" s="27" t="s">
        <v>130</v>
      </c>
      <c r="E7" s="27" t="s">
        <v>140</v>
      </c>
      <c r="F7" s="27" t="s">
        <v>471</v>
      </c>
      <c r="G7" s="27" t="s">
        <v>472</v>
      </c>
    </row>
    <row r="8" spans="1:7" s="28" customFormat="1">
      <c r="A8" s="27">
        <v>6</v>
      </c>
      <c r="B8" s="27" t="s">
        <v>280</v>
      </c>
      <c r="C8" s="27" t="s">
        <v>34</v>
      </c>
      <c r="D8" s="27" t="s">
        <v>284</v>
      </c>
      <c r="E8" s="27" t="s">
        <v>140</v>
      </c>
      <c r="F8" s="27" t="s">
        <v>471</v>
      </c>
      <c r="G8" s="27" t="s">
        <v>472</v>
      </c>
    </row>
    <row r="9" spans="1:7">
      <c r="A9" s="24">
        <v>7</v>
      </c>
      <c r="B9" s="29" t="s">
        <v>188</v>
      </c>
      <c r="C9" s="24" t="s">
        <v>34</v>
      </c>
      <c r="D9" s="24" t="s">
        <v>4</v>
      </c>
      <c r="E9" s="24" t="s">
        <v>40</v>
      </c>
      <c r="F9" s="24" t="s">
        <v>473</v>
      </c>
      <c r="G9" s="24" t="s">
        <v>474</v>
      </c>
    </row>
    <row r="10" spans="1:7">
      <c r="A10" s="24">
        <v>8</v>
      </c>
      <c r="B10" s="24" t="s">
        <v>47</v>
      </c>
      <c r="C10" s="24" t="s">
        <v>46</v>
      </c>
      <c r="D10" s="24" t="s">
        <v>4</v>
      </c>
      <c r="E10" s="24" t="s">
        <v>40</v>
      </c>
      <c r="F10" s="24" t="s">
        <v>475</v>
      </c>
      <c r="G10" s="24" t="s">
        <v>476</v>
      </c>
    </row>
    <row r="11" spans="1:7">
      <c r="A11" s="24">
        <v>9</v>
      </c>
      <c r="B11" s="24" t="s">
        <v>51</v>
      </c>
      <c r="C11" s="24" t="s">
        <v>46</v>
      </c>
      <c r="D11" s="24" t="s">
        <v>4</v>
      </c>
      <c r="E11" s="24" t="s">
        <v>40</v>
      </c>
      <c r="F11" s="24" t="s">
        <v>475</v>
      </c>
      <c r="G11" s="24" t="s">
        <v>476</v>
      </c>
    </row>
    <row r="12" spans="1:7">
      <c r="A12" s="24">
        <v>10</v>
      </c>
      <c r="B12" s="24" t="s">
        <v>35</v>
      </c>
      <c r="C12" s="24" t="s">
        <v>34</v>
      </c>
      <c r="D12" s="24" t="s">
        <v>4</v>
      </c>
      <c r="E12" s="24" t="s">
        <v>40</v>
      </c>
      <c r="F12" s="24" t="s">
        <v>475</v>
      </c>
      <c r="G12" s="24" t="s">
        <v>476</v>
      </c>
    </row>
    <row r="13" spans="1:7">
      <c r="A13" s="24"/>
      <c r="B13" s="24"/>
      <c r="C13" s="24"/>
      <c r="D13" s="24"/>
      <c r="E13" s="24"/>
      <c r="F13" s="24"/>
      <c r="G13" s="24"/>
    </row>
    <row r="14" spans="1:7">
      <c r="A14" s="24"/>
      <c r="B14" s="24"/>
      <c r="C14" s="24"/>
      <c r="D14" s="24"/>
      <c r="E14" s="24"/>
      <c r="F14" s="24"/>
      <c r="G14" s="24"/>
    </row>
    <row r="15" spans="1:7">
      <c r="A15" s="24"/>
      <c r="B15" s="24"/>
      <c r="C15" s="24"/>
      <c r="D15" s="24"/>
      <c r="E15" s="24"/>
      <c r="F15" s="24"/>
      <c r="G15" s="24"/>
    </row>
    <row r="16" spans="1:7">
      <c r="A16" s="24"/>
      <c r="B16" s="24"/>
      <c r="C16" s="24"/>
      <c r="D16" s="24"/>
      <c r="E16" s="24"/>
      <c r="F16" s="24"/>
      <c r="G16" s="24"/>
    </row>
    <row r="17" spans="1:7">
      <c r="A17" s="24"/>
      <c r="B17" s="24"/>
      <c r="C17" s="24"/>
      <c r="D17" s="24"/>
      <c r="E17" s="24"/>
      <c r="F17" s="24"/>
      <c r="G17" s="24"/>
    </row>
    <row r="18" spans="1:7">
      <c r="A18" s="24"/>
      <c r="B18" s="24"/>
      <c r="C18" s="24"/>
      <c r="D18" s="24"/>
      <c r="E18" s="24"/>
      <c r="F18" s="24"/>
      <c r="G18" s="24"/>
    </row>
    <row r="19" spans="1:7">
      <c r="A19" s="24"/>
      <c r="B19" s="24"/>
      <c r="C19" s="24"/>
      <c r="D19" s="24"/>
      <c r="E19" s="24"/>
      <c r="F19" s="24"/>
      <c r="G19" s="24"/>
    </row>
    <row r="20" spans="1:7">
      <c r="A20" s="24"/>
      <c r="B20" s="24"/>
      <c r="C20" s="24"/>
      <c r="D20" s="24"/>
      <c r="E20" s="24"/>
      <c r="F20" s="24"/>
      <c r="G20" s="24"/>
    </row>
    <row r="21" spans="1:7">
      <c r="A21" s="24"/>
      <c r="B21" s="24"/>
      <c r="C21" s="24"/>
      <c r="D21" s="24"/>
      <c r="E21" s="24"/>
      <c r="F21" s="24"/>
      <c r="G21" s="24"/>
    </row>
    <row r="22" spans="1:7">
      <c r="A22" s="24"/>
      <c r="B22" s="24"/>
      <c r="C22" s="24"/>
      <c r="D22" s="24"/>
      <c r="E22" s="24"/>
      <c r="F22" s="24"/>
      <c r="G22" s="24"/>
    </row>
    <row r="23" spans="1:7">
      <c r="A23" s="24"/>
      <c r="B23" s="24"/>
      <c r="C23" s="24"/>
      <c r="D23" s="24"/>
      <c r="E23" s="24"/>
      <c r="F23" s="24"/>
      <c r="G23" s="24"/>
    </row>
    <row r="24" spans="1:7">
      <c r="A24" s="24"/>
      <c r="B24" s="24"/>
      <c r="C24" s="24"/>
      <c r="D24" s="24"/>
      <c r="E24" s="24"/>
      <c r="F24" s="24"/>
      <c r="G24" s="24"/>
    </row>
    <row r="25" spans="1:7">
      <c r="A25" s="24"/>
      <c r="B25" s="24"/>
      <c r="C25" s="24"/>
      <c r="D25" s="24"/>
      <c r="E25" s="24"/>
      <c r="F25" s="24"/>
      <c r="G25" s="24"/>
    </row>
    <row r="26" spans="1:7">
      <c r="A26" s="24"/>
      <c r="B26" s="24"/>
      <c r="C26" s="24"/>
      <c r="D26" s="24"/>
      <c r="E26" s="24"/>
      <c r="F26" s="24"/>
      <c r="G26" s="24"/>
    </row>
    <row r="27" spans="1:7">
      <c r="A27" s="24"/>
      <c r="B27" s="24"/>
      <c r="C27" s="24"/>
      <c r="D27" s="24"/>
      <c r="E27" s="24"/>
      <c r="F27" s="24"/>
      <c r="G27" s="24"/>
    </row>
    <row r="28" spans="1:7">
      <c r="A28" s="24"/>
      <c r="B28" s="24"/>
      <c r="C28" s="24"/>
      <c r="D28" s="24"/>
      <c r="E28" s="24"/>
      <c r="F28" s="24"/>
      <c r="G28" s="24"/>
    </row>
    <row r="29" spans="1:7">
      <c r="A29" s="24"/>
      <c r="B29" s="24"/>
      <c r="C29" s="24"/>
      <c r="D29" s="24"/>
      <c r="E29" s="24"/>
      <c r="F29" s="24"/>
      <c r="G29" s="24"/>
    </row>
    <row r="30" spans="1:7">
      <c r="A30" s="24"/>
      <c r="B30" s="24"/>
      <c r="C30" s="24"/>
      <c r="D30" s="24"/>
      <c r="E30" s="24"/>
      <c r="F30" s="24"/>
      <c r="G30" s="24"/>
    </row>
    <row r="31" spans="1:7">
      <c r="A31" s="24"/>
      <c r="B31" s="24"/>
      <c r="C31" s="24"/>
      <c r="D31" s="24"/>
      <c r="E31" s="24"/>
      <c r="F31" s="24"/>
      <c r="G31" s="24"/>
    </row>
    <row r="32" spans="1:7">
      <c r="A32" s="24"/>
      <c r="B32" s="24"/>
      <c r="C32" s="24"/>
      <c r="D32" s="24"/>
      <c r="E32" s="24"/>
      <c r="F32" s="24"/>
      <c r="G32" s="24"/>
    </row>
    <row r="33" spans="1:7">
      <c r="A33" s="24"/>
      <c r="B33" s="24"/>
      <c r="C33" s="24"/>
      <c r="D33" s="24"/>
      <c r="E33" s="24"/>
      <c r="F33" s="24"/>
      <c r="G33" s="24"/>
    </row>
    <row r="34" spans="1:7">
      <c r="A34" s="24"/>
      <c r="B34" s="24"/>
      <c r="C34" s="24"/>
      <c r="D34" s="24"/>
      <c r="E34" s="24"/>
      <c r="F34" s="24"/>
      <c r="G34" s="24"/>
    </row>
    <row r="35" spans="1:7">
      <c r="A35" s="24"/>
      <c r="B35" s="24"/>
      <c r="C35" s="24"/>
      <c r="D35" s="24"/>
      <c r="E35" s="24"/>
      <c r="F35" s="24"/>
      <c r="G35" s="24"/>
    </row>
    <row r="36" spans="1:7">
      <c r="A36" s="24"/>
      <c r="B36" s="24"/>
      <c r="C36" s="24"/>
      <c r="D36" s="24"/>
      <c r="E36" s="24"/>
      <c r="F36" s="24"/>
      <c r="G36" s="24"/>
    </row>
    <row r="37" spans="1:7">
      <c r="A37" s="24"/>
      <c r="B37" s="24"/>
      <c r="C37" s="24"/>
      <c r="D37" s="24"/>
      <c r="E37" s="24"/>
      <c r="F37" s="24"/>
      <c r="G37" s="24"/>
    </row>
    <row r="38" spans="1:7">
      <c r="A38" s="24"/>
      <c r="B38" s="24"/>
      <c r="C38" s="24"/>
      <c r="D38" s="24"/>
      <c r="E38" s="24"/>
      <c r="F38" s="24"/>
      <c r="G38" s="24"/>
    </row>
    <row r="39" spans="1:7">
      <c r="A39" s="24"/>
      <c r="B39" s="24"/>
      <c r="C39" s="24"/>
      <c r="D39" s="24"/>
      <c r="E39" s="24"/>
      <c r="F39" s="24"/>
      <c r="G39" s="24"/>
    </row>
    <row r="40" spans="1:7">
      <c r="A40" s="24"/>
      <c r="B40" s="24"/>
      <c r="C40" s="24"/>
      <c r="D40" s="24"/>
      <c r="E40" s="24"/>
      <c r="F40" s="24"/>
      <c r="G40" s="24"/>
    </row>
    <row r="41" spans="1:7">
      <c r="A41" s="24"/>
      <c r="B41" s="24"/>
      <c r="C41" s="24"/>
      <c r="D41" s="24"/>
      <c r="E41" s="24"/>
      <c r="F41" s="24"/>
      <c r="G41" s="24"/>
    </row>
    <row r="42" spans="1:7">
      <c r="A42" s="24"/>
      <c r="B42" s="24"/>
      <c r="C42" s="24"/>
      <c r="D42" s="24"/>
      <c r="E42" s="24"/>
      <c r="F42" s="24"/>
      <c r="G42" s="24"/>
    </row>
    <row r="43" spans="1:7">
      <c r="A43" s="24"/>
      <c r="B43" s="24"/>
      <c r="C43" s="24"/>
      <c r="D43" s="24"/>
      <c r="E43" s="24"/>
      <c r="F43" s="24"/>
      <c r="G43" s="24"/>
    </row>
    <row r="44" spans="1:7">
      <c r="A44" s="24"/>
      <c r="B44" s="24"/>
      <c r="C44" s="24"/>
      <c r="D44" s="24"/>
      <c r="E44" s="24"/>
      <c r="F44" s="24"/>
      <c r="G44" s="24"/>
    </row>
    <row r="45" spans="1:7">
      <c r="A45" s="24"/>
      <c r="B45" s="24"/>
      <c r="C45" s="24"/>
      <c r="D45" s="24"/>
      <c r="E45" s="24"/>
      <c r="F45" s="24"/>
      <c r="G45" s="24"/>
    </row>
    <row r="46" spans="1:7">
      <c r="A46" s="24"/>
      <c r="B46" s="24"/>
      <c r="C46" s="24"/>
      <c r="D46" s="24"/>
      <c r="E46" s="24"/>
      <c r="F46" s="24"/>
      <c r="G46" s="24"/>
    </row>
    <row r="47" spans="1:7">
      <c r="A47" s="24"/>
      <c r="B47" s="24"/>
      <c r="C47" s="24"/>
      <c r="D47" s="24"/>
      <c r="E47" s="24"/>
      <c r="F47" s="24"/>
      <c r="G47" s="24"/>
    </row>
    <row r="48" spans="1:7">
      <c r="A48" s="24"/>
      <c r="B48" s="24"/>
      <c r="C48" s="24"/>
      <c r="D48" s="24"/>
      <c r="E48" s="24"/>
      <c r="F48" s="24"/>
      <c r="G48" s="24"/>
    </row>
    <row r="49" spans="1:7">
      <c r="A49" s="24"/>
      <c r="B49" s="24"/>
      <c r="C49" s="24"/>
      <c r="D49" s="24"/>
      <c r="E49" s="24"/>
      <c r="F49" s="24"/>
      <c r="G49" s="24"/>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98C8B"/>
  </sheetPr>
  <dimension ref="A1:B11"/>
  <sheetViews>
    <sheetView showGridLines="0" workbookViewId="0">
      <selection activeCell="B5" sqref="B5"/>
    </sheetView>
  </sheetViews>
  <sheetFormatPr defaultColWidth="8.85546875" defaultRowHeight="14.45"/>
  <cols>
    <col min="1" max="1" width="28.7109375" bestFit="1" customWidth="1"/>
    <col min="2" max="2" width="118" bestFit="1" customWidth="1"/>
  </cols>
  <sheetData>
    <row r="1" spans="1:2" ht="21" customHeight="1">
      <c r="A1" s="48" t="s">
        <v>477</v>
      </c>
      <c r="B1" s="57"/>
    </row>
    <row r="2" spans="1:2" ht="15.95" customHeight="1">
      <c r="A2" s="7" t="s">
        <v>478</v>
      </c>
      <c r="B2" s="8" t="s">
        <v>479</v>
      </c>
    </row>
    <row r="3" spans="1:2" ht="15.95" customHeight="1">
      <c r="A3" s="9" t="s">
        <v>480</v>
      </c>
      <c r="B3" s="10" t="s">
        <v>481</v>
      </c>
    </row>
    <row r="4" spans="1:2" ht="15.95" customHeight="1">
      <c r="A4" s="7" t="s">
        <v>482</v>
      </c>
      <c r="B4" s="8" t="s">
        <v>483</v>
      </c>
    </row>
    <row r="5" spans="1:2" ht="15.95" customHeight="1">
      <c r="A5" s="7" t="s">
        <v>484</v>
      </c>
      <c r="B5" s="8" t="s">
        <v>485</v>
      </c>
    </row>
    <row r="6" spans="1:2" ht="15.95" customHeight="1">
      <c r="A6" s="7" t="s">
        <v>486</v>
      </c>
      <c r="B6" s="8" t="s">
        <v>487</v>
      </c>
    </row>
    <row r="7" spans="1:2" ht="15.95" customHeight="1">
      <c r="A7" s="7" t="s">
        <v>488</v>
      </c>
      <c r="B7" s="8" t="s">
        <v>489</v>
      </c>
    </row>
    <row r="8" spans="1:2" ht="15.95" customHeight="1">
      <c r="A8" s="7" t="s">
        <v>490</v>
      </c>
      <c r="B8" s="8" t="s">
        <v>491</v>
      </c>
    </row>
    <row r="9" spans="1:2" ht="15.95" customHeight="1">
      <c r="A9" s="7" t="s">
        <v>492</v>
      </c>
      <c r="B9" s="8" t="s">
        <v>493</v>
      </c>
    </row>
    <row r="10" spans="1:2" ht="15.95" customHeight="1">
      <c r="A10" s="7" t="s">
        <v>494</v>
      </c>
      <c r="B10" s="8" t="s">
        <v>495</v>
      </c>
    </row>
    <row r="11" spans="1:2" ht="15.95" customHeight="1">
      <c r="A11" s="7" t="s">
        <v>496</v>
      </c>
      <c r="B11" s="8" t="s">
        <v>497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PHUMIN DECOKNOI</cp:lastModifiedBy>
  <cp:revision/>
  <dcterms:created xsi:type="dcterms:W3CDTF">2026-03-19T03:15:07Z</dcterms:created>
  <dcterms:modified xsi:type="dcterms:W3CDTF">2026-03-19T05:07:59Z</dcterms:modified>
  <cp:category/>
  <cp:contentStatus/>
</cp:coreProperties>
</file>